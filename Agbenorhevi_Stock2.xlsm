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11" codeName="{6BE1CDB9-6C1C-A5B6-3FC1-E231EC3C600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tephanieagbenorhevi/Desktop/mods/mods 2/itp/"/>
    </mc:Choice>
  </mc:AlternateContent>
  <xr:revisionPtr revIDLastSave="0" documentId="8_{A4043063-3A08-A74E-B87E-34CEFBD9B931}" xr6:coauthVersionLast="46" xr6:coauthVersionMax="46" xr10:uidLastSave="{00000000-0000-0000-0000-000000000000}"/>
  <bookViews>
    <workbookView xWindow="14600" yWindow="0" windowWidth="14200" windowHeight="18000" xr2:uid="{00000000-000D-0000-FFFF-FFFF00000000}"/>
  </bookViews>
  <sheets>
    <sheet name="Documentation" sheetId="4" r:id="rId1"/>
    <sheet name="Reporter" sheetId="2" r:id="rId2"/>
    <sheet name="History Log" sheetId="1" r:id="rId3"/>
    <sheet name="Case Report" sheetId="6" r:id="rId4"/>
    <sheet name="Spring2021A" sheetId="5" r:id="rId5"/>
  </sheets>
  <definedNames>
    <definedName name="Close">'History Log'!$F$2:$F$91</definedName>
    <definedName name="Date">'History Log'!$A$2:$A$91</definedName>
    <definedName name="High">'History Log'!$D$2:$D$91</definedName>
    <definedName name="Low">'History Log'!$E$2:$E$91</definedName>
    <definedName name="Open">'History Log'!$C$2:$C$91</definedName>
    <definedName name="starting_date">'History Log'!$A$91</definedName>
    <definedName name="starting_value">'History Log'!$C$91</definedName>
    <definedName name="Volume">'History Log'!$B$2:$B$91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9" i="2" l="1"/>
  <c r="K15" i="2"/>
  <c r="K13" i="2"/>
  <c r="K14" i="2"/>
  <c r="K16" i="2"/>
  <c r="K17" i="2" l="1"/>
  <c r="K18" i="2" s="1"/>
</calcChain>
</file>

<file path=xl/sharedStrings.xml><?xml version="1.0" encoding="utf-8"?>
<sst xmlns="http://schemas.openxmlformats.org/spreadsheetml/2006/main" count="43" uniqueCount="38">
  <si>
    <t>Date</t>
  </si>
  <si>
    <t>Volume (mil)</t>
  </si>
  <si>
    <t>Open</t>
  </si>
  <si>
    <t>High</t>
  </si>
  <si>
    <t>Low</t>
  </si>
  <si>
    <t>Close</t>
  </si>
  <si>
    <t>Change</t>
  </si>
  <si>
    <t>Average Volume (mil)</t>
  </si>
  <si>
    <t>Starting Date</t>
  </si>
  <si>
    <t>Ending Date</t>
  </si>
  <si>
    <t>Starting Value</t>
  </si>
  <si>
    <t>Ending Value</t>
  </si>
  <si>
    <t>% Change</t>
  </si>
  <si>
    <t>Stock History for Maxwell Sports Inc. (MXS)</t>
  </si>
  <si>
    <t>Purpose:</t>
  </si>
  <si>
    <t>Date Created:</t>
  </si>
  <si>
    <t>Created By:</t>
  </si>
  <si>
    <t>Latest Stock Value</t>
  </si>
  <si>
    <t>Volume</t>
  </si>
  <si>
    <t>Code</t>
  </si>
  <si>
    <t>Maxwell Sports</t>
  </si>
  <si>
    <t>Spring2021A</t>
  </si>
  <si>
    <t>DO NOT DELETE THIS SHEET</t>
  </si>
  <si>
    <t>Stephanie Agbenorhevi</t>
  </si>
  <si>
    <t>90-day Statistics</t>
  </si>
  <si>
    <t>A.</t>
  </si>
  <si>
    <t>B.</t>
  </si>
  <si>
    <t>C.</t>
  </si>
  <si>
    <t>To display 30, 60, and 90 day stock information for a selected stock in an interactive chart and worksheet.</t>
  </si>
  <si>
    <t>Worksheet</t>
  </si>
  <si>
    <t>Description</t>
  </si>
  <si>
    <t>Reporter</t>
  </si>
  <si>
    <t>History Log</t>
  </si>
  <si>
    <t>This sheet contain an interactive chart and statistics for a selected stock.</t>
  </si>
  <si>
    <t>This sheet contains the history of the selected stock.</t>
  </si>
  <si>
    <t>Summary</t>
  </si>
  <si>
    <t>In this case report, I used macros, data validation, and names to create an interactive worksheet that shows a chart and statistics for a stock in a 30-day period, 60-day period, and 90-day period. I also used macros to insert new values from the Reporter worksheet to the History Log worksheet.</t>
  </si>
  <si>
    <t>This worksheet uses names, data validation, and macros.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</si>
</sst>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m/d/yyyy;@"/>
  </numFmts>
  <fonts count="9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b/>
      <sz val="12"/>
      <color indexed="1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i/>
      <sz val="18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14" fontId="0" fillId="0" borderId="0" xfId="0" applyNumberFormat="1"/>
    <xf numFmtId="2" fontId="0" fillId="0" borderId="0" xfId="0" applyNumberFormat="1"/>
    <xf numFmtId="0" fontId="0" fillId="0" borderId="0" xfId="0" applyBorder="1" applyAlignment="1">
      <alignment horizontal="center"/>
    </xf>
    <xf numFmtId="2" fontId="0" fillId="0" borderId="1" xfId="0" applyNumberFormat="1" applyBorder="1"/>
    <xf numFmtId="0" fontId="5" fillId="0" borderId="0" xfId="0" applyFont="1" applyFill="1" applyProtection="1"/>
    <xf numFmtId="0" fontId="0" fillId="0" borderId="0" xfId="0" applyFill="1" applyProtection="1"/>
    <xf numFmtId="2" fontId="0" fillId="0" borderId="1" xfId="0" applyNumberFormat="1" applyFill="1" applyBorder="1" applyProtection="1"/>
    <xf numFmtId="10" fontId="0" fillId="0" borderId="1" xfId="1" applyNumberFormat="1" applyFont="1" applyFill="1" applyBorder="1" applyProtection="1"/>
    <xf numFmtId="164" fontId="0" fillId="0" borderId="1" xfId="0" applyNumberFormat="1" applyFill="1" applyBorder="1" applyProtection="1"/>
    <xf numFmtId="0" fontId="0" fillId="2" borderId="0" xfId="0" applyFill="1" applyBorder="1" applyProtection="1"/>
    <xf numFmtId="0" fontId="4" fillId="3" borderId="1" xfId="0" applyFont="1" applyFill="1" applyBorder="1" applyAlignment="1" applyProtection="1">
      <alignment horizontal="center"/>
    </xf>
    <xf numFmtId="0" fontId="0" fillId="2" borderId="0" xfId="0" applyFill="1" applyProtection="1"/>
    <xf numFmtId="165" fontId="0" fillId="0" borderId="1" xfId="0" applyNumberFormat="1" applyFill="1" applyBorder="1" applyProtection="1"/>
    <xf numFmtId="165" fontId="0" fillId="0" borderId="1" xfId="0" applyNumberFormat="1" applyBorder="1"/>
    <xf numFmtId="0" fontId="4" fillId="4" borderId="2" xfId="0" applyFont="1" applyFill="1" applyBorder="1" applyAlignment="1" applyProtection="1"/>
    <xf numFmtId="0" fontId="4" fillId="4" borderId="3" xfId="0" applyFont="1" applyFill="1" applyBorder="1" applyAlignment="1" applyProtection="1"/>
    <xf numFmtId="0" fontId="4" fillId="4" borderId="1" xfId="0" applyFont="1" applyFill="1" applyBorder="1" applyAlignment="1" applyProtection="1"/>
    <xf numFmtId="0" fontId="1" fillId="0" borderId="0" xfId="0" applyFont="1"/>
    <xf numFmtId="0" fontId="0" fillId="6" borderId="0" xfId="0" applyFill="1" applyProtection="1">
      <protection hidden="1"/>
    </xf>
    <xf numFmtId="0" fontId="4" fillId="0" borderId="0" xfId="0" applyFont="1" applyFill="1"/>
    <xf numFmtId="0" fontId="4" fillId="4" borderId="1" xfId="0" applyFont="1" applyFill="1" applyBorder="1" applyAlignment="1" applyProtection="1"/>
    <xf numFmtId="0" fontId="3" fillId="5" borderId="1" xfId="0" applyFont="1" applyFill="1" applyBorder="1" applyAlignment="1" applyProtection="1">
      <alignment horizontal="center"/>
    </xf>
    <xf numFmtId="0" fontId="3" fillId="5" borderId="2" xfId="0" applyFont="1" applyFill="1" applyBorder="1" applyAlignment="1" applyProtection="1">
      <alignment horizontal="center"/>
    </xf>
    <xf numFmtId="0" fontId="3" fillId="5" borderId="4" xfId="0" applyFont="1" applyFill="1" applyBorder="1" applyAlignment="1" applyProtection="1">
      <alignment horizontal="center"/>
    </xf>
    <xf numFmtId="0" fontId="3" fillId="5" borderId="3" xfId="0" applyFont="1" applyFill="1" applyBorder="1" applyAlignment="1" applyProtection="1">
      <alignment horizontal="center"/>
    </xf>
    <xf numFmtId="0" fontId="6" fillId="7" borderId="0" xfId="0" applyFont="1" applyFill="1" applyAlignment="1">
      <alignment horizontal="center"/>
    </xf>
    <xf numFmtId="14" fontId="7" fillId="0" borderId="1" xfId="0" applyNumberFormat="1" applyFont="1" applyFill="1" applyBorder="1"/>
    <xf numFmtId="0" fontId="7" fillId="0" borderId="1" xfId="0" applyFont="1" applyFill="1" applyBorder="1"/>
    <xf numFmtId="0" fontId="8" fillId="0" borderId="1" xfId="0" applyFont="1" applyFill="1" applyBorder="1" applyAlignment="1">
      <alignment horizontal="center"/>
    </xf>
    <xf numFmtId="0" fontId="4" fillId="0" borderId="0" xfId="0" applyFont="1" applyFill="1" applyBorder="1"/>
    <xf numFmtId="0" fontId="7" fillId="0" borderId="0" xfId="0" applyFont="1" applyFill="1" applyBorder="1"/>
    <xf numFmtId="0" fontId="7" fillId="0" borderId="1" xfId="0" applyFont="1" applyFill="1" applyBorder="1" applyAlignment="1">
      <alignment wrapText="1"/>
    </xf>
    <xf numFmtId="0" fontId="3" fillId="0" borderId="0" xfId="0" applyFont="1"/>
    <xf numFmtId="0" fontId="1" fillId="0" borderId="0" xfId="0" applyFont="1" applyAlignment="1">
      <alignment horizontal="center" wrapText="1"/>
    </xf>
    <xf numFmtId="0" fontId="7" fillId="0" borderId="1" xfId="0" applyFont="1" applyFill="1" applyBorder="1" applyAlignment="1">
      <alignment horizontal="right"/>
    </xf>
  </cellXfs>
  <cellStyles count="2">
    <cellStyle name="Normal" xfId="0" builtinId="0"/>
    <cellStyle name="Percent" xfId="1" builtinId="5"/>
  </cellStyles>
  <dxfs count="1">
    <dxf>
      <font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849287169042773"/>
          <c:y val="8.5910941228190874E-2"/>
          <c:w val="0.71283095723014278"/>
          <c:h val="0.69759684277290979"/>
        </c:manualLayout>
      </c:layout>
      <c:barChart>
        <c:barDir val="col"/>
        <c:grouping val="clustered"/>
        <c:varyColors val="0"/>
        <c:ser>
          <c:idx val="4"/>
          <c:order val="0"/>
          <c:tx>
            <c:strRef>
              <c:f>'History Log'!$B$1</c:f>
              <c:strCache>
                <c:ptCount val="1"/>
                <c:pt idx="0">
                  <c:v>Volume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[0]!Date</c:f>
              <c:numCache>
                <c:formatCode>m/d/yyyy;@</c:formatCode>
                <c:ptCount val="90"/>
                <c:pt idx="0">
                  <c:v>38858</c:v>
                </c:pt>
                <c:pt idx="1">
                  <c:v>38857</c:v>
                </c:pt>
                <c:pt idx="2">
                  <c:v>38856</c:v>
                </c:pt>
                <c:pt idx="3">
                  <c:v>38855</c:v>
                </c:pt>
                <c:pt idx="4">
                  <c:v>38854</c:v>
                </c:pt>
                <c:pt idx="5">
                  <c:v>38851</c:v>
                </c:pt>
                <c:pt idx="6">
                  <c:v>38850</c:v>
                </c:pt>
                <c:pt idx="7">
                  <c:v>38849</c:v>
                </c:pt>
                <c:pt idx="8">
                  <c:v>38848</c:v>
                </c:pt>
                <c:pt idx="9">
                  <c:v>38847</c:v>
                </c:pt>
                <c:pt idx="10">
                  <c:v>38844</c:v>
                </c:pt>
                <c:pt idx="11">
                  <c:v>38843</c:v>
                </c:pt>
                <c:pt idx="12">
                  <c:v>38842</c:v>
                </c:pt>
                <c:pt idx="13">
                  <c:v>38841</c:v>
                </c:pt>
                <c:pt idx="14">
                  <c:v>38840</c:v>
                </c:pt>
                <c:pt idx="15">
                  <c:v>38837</c:v>
                </c:pt>
                <c:pt idx="16">
                  <c:v>38836</c:v>
                </c:pt>
                <c:pt idx="17">
                  <c:v>38835</c:v>
                </c:pt>
                <c:pt idx="18">
                  <c:v>38834</c:v>
                </c:pt>
                <c:pt idx="19">
                  <c:v>38833</c:v>
                </c:pt>
                <c:pt idx="20">
                  <c:v>38830</c:v>
                </c:pt>
                <c:pt idx="21">
                  <c:v>38829</c:v>
                </c:pt>
                <c:pt idx="22">
                  <c:v>38828</c:v>
                </c:pt>
                <c:pt idx="23">
                  <c:v>38827</c:v>
                </c:pt>
                <c:pt idx="24">
                  <c:v>38826</c:v>
                </c:pt>
                <c:pt idx="25">
                  <c:v>38823</c:v>
                </c:pt>
                <c:pt idx="26">
                  <c:v>38822</c:v>
                </c:pt>
                <c:pt idx="27">
                  <c:v>38821</c:v>
                </c:pt>
                <c:pt idx="28">
                  <c:v>38820</c:v>
                </c:pt>
                <c:pt idx="29">
                  <c:v>38819</c:v>
                </c:pt>
                <c:pt idx="30">
                  <c:v>38816</c:v>
                </c:pt>
                <c:pt idx="31">
                  <c:v>38815</c:v>
                </c:pt>
                <c:pt idx="32">
                  <c:v>38814</c:v>
                </c:pt>
                <c:pt idx="33">
                  <c:v>38813</c:v>
                </c:pt>
                <c:pt idx="34">
                  <c:v>38812</c:v>
                </c:pt>
                <c:pt idx="35">
                  <c:v>38809</c:v>
                </c:pt>
                <c:pt idx="36">
                  <c:v>38808</c:v>
                </c:pt>
                <c:pt idx="37">
                  <c:v>38807</c:v>
                </c:pt>
                <c:pt idx="38">
                  <c:v>38806</c:v>
                </c:pt>
                <c:pt idx="39">
                  <c:v>38805</c:v>
                </c:pt>
                <c:pt idx="40">
                  <c:v>38802</c:v>
                </c:pt>
                <c:pt idx="41">
                  <c:v>38801</c:v>
                </c:pt>
                <c:pt idx="42">
                  <c:v>38800</c:v>
                </c:pt>
                <c:pt idx="43">
                  <c:v>38799</c:v>
                </c:pt>
                <c:pt idx="44">
                  <c:v>38798</c:v>
                </c:pt>
                <c:pt idx="45">
                  <c:v>38795</c:v>
                </c:pt>
                <c:pt idx="46">
                  <c:v>38794</c:v>
                </c:pt>
                <c:pt idx="47">
                  <c:v>38793</c:v>
                </c:pt>
                <c:pt idx="48">
                  <c:v>38792</c:v>
                </c:pt>
                <c:pt idx="49">
                  <c:v>38791</c:v>
                </c:pt>
                <c:pt idx="50">
                  <c:v>38788</c:v>
                </c:pt>
                <c:pt idx="51">
                  <c:v>38787</c:v>
                </c:pt>
                <c:pt idx="52">
                  <c:v>38786</c:v>
                </c:pt>
                <c:pt idx="53">
                  <c:v>38785</c:v>
                </c:pt>
                <c:pt idx="54">
                  <c:v>38784</c:v>
                </c:pt>
                <c:pt idx="55">
                  <c:v>38781</c:v>
                </c:pt>
                <c:pt idx="56">
                  <c:v>38780</c:v>
                </c:pt>
                <c:pt idx="57">
                  <c:v>38779</c:v>
                </c:pt>
                <c:pt idx="58">
                  <c:v>38778</c:v>
                </c:pt>
                <c:pt idx="59">
                  <c:v>38777</c:v>
                </c:pt>
                <c:pt idx="60">
                  <c:v>38775</c:v>
                </c:pt>
                <c:pt idx="61">
                  <c:v>38774</c:v>
                </c:pt>
                <c:pt idx="62">
                  <c:v>38773</c:v>
                </c:pt>
                <c:pt idx="63">
                  <c:v>38772</c:v>
                </c:pt>
                <c:pt idx="64">
                  <c:v>38771</c:v>
                </c:pt>
                <c:pt idx="65">
                  <c:v>38768</c:v>
                </c:pt>
                <c:pt idx="66">
                  <c:v>38767</c:v>
                </c:pt>
                <c:pt idx="67">
                  <c:v>38766</c:v>
                </c:pt>
                <c:pt idx="68">
                  <c:v>38765</c:v>
                </c:pt>
                <c:pt idx="69">
                  <c:v>38764</c:v>
                </c:pt>
                <c:pt idx="70">
                  <c:v>38761</c:v>
                </c:pt>
                <c:pt idx="71">
                  <c:v>38760</c:v>
                </c:pt>
                <c:pt idx="72">
                  <c:v>38759</c:v>
                </c:pt>
                <c:pt idx="73">
                  <c:v>38758</c:v>
                </c:pt>
                <c:pt idx="74">
                  <c:v>38757</c:v>
                </c:pt>
                <c:pt idx="75">
                  <c:v>38754</c:v>
                </c:pt>
                <c:pt idx="76">
                  <c:v>38753</c:v>
                </c:pt>
                <c:pt idx="77">
                  <c:v>38752</c:v>
                </c:pt>
                <c:pt idx="78">
                  <c:v>38751</c:v>
                </c:pt>
                <c:pt idx="79">
                  <c:v>38750</c:v>
                </c:pt>
                <c:pt idx="80">
                  <c:v>38747</c:v>
                </c:pt>
                <c:pt idx="81">
                  <c:v>38746</c:v>
                </c:pt>
                <c:pt idx="82">
                  <c:v>38745</c:v>
                </c:pt>
                <c:pt idx="83">
                  <c:v>38744</c:v>
                </c:pt>
                <c:pt idx="84">
                  <c:v>38743</c:v>
                </c:pt>
                <c:pt idx="85">
                  <c:v>38740</c:v>
                </c:pt>
                <c:pt idx="86">
                  <c:v>38739</c:v>
                </c:pt>
                <c:pt idx="87">
                  <c:v>38738</c:v>
                </c:pt>
                <c:pt idx="88">
                  <c:v>38737</c:v>
                </c:pt>
                <c:pt idx="89">
                  <c:v>38736</c:v>
                </c:pt>
              </c:numCache>
            </c:numRef>
          </c:cat>
          <c:val>
            <c:numRef>
              <c:f>[0]!Volume</c:f>
              <c:numCache>
                <c:formatCode>0.00</c:formatCode>
                <c:ptCount val="90"/>
                <c:pt idx="0">
                  <c:v>0.25</c:v>
                </c:pt>
                <c:pt idx="1">
                  <c:v>0.51</c:v>
                </c:pt>
                <c:pt idx="2">
                  <c:v>0.72</c:v>
                </c:pt>
                <c:pt idx="3">
                  <c:v>0.55000000000000004</c:v>
                </c:pt>
                <c:pt idx="4">
                  <c:v>0.37</c:v>
                </c:pt>
                <c:pt idx="5">
                  <c:v>0.44</c:v>
                </c:pt>
                <c:pt idx="6">
                  <c:v>0.38</c:v>
                </c:pt>
                <c:pt idx="7">
                  <c:v>0.6</c:v>
                </c:pt>
                <c:pt idx="8">
                  <c:v>0.54</c:v>
                </c:pt>
                <c:pt idx="9">
                  <c:v>0.49</c:v>
                </c:pt>
                <c:pt idx="10">
                  <c:v>0.48</c:v>
                </c:pt>
                <c:pt idx="11">
                  <c:v>0.44</c:v>
                </c:pt>
                <c:pt idx="12">
                  <c:v>0.59</c:v>
                </c:pt>
                <c:pt idx="13">
                  <c:v>0.47</c:v>
                </c:pt>
                <c:pt idx="14">
                  <c:v>0.34</c:v>
                </c:pt>
                <c:pt idx="15">
                  <c:v>0.4</c:v>
                </c:pt>
                <c:pt idx="16">
                  <c:v>0.49</c:v>
                </c:pt>
                <c:pt idx="17">
                  <c:v>0.3</c:v>
                </c:pt>
                <c:pt idx="18">
                  <c:v>0.19</c:v>
                </c:pt>
                <c:pt idx="19">
                  <c:v>0.18</c:v>
                </c:pt>
                <c:pt idx="20">
                  <c:v>0.27</c:v>
                </c:pt>
                <c:pt idx="21">
                  <c:v>0.42</c:v>
                </c:pt>
                <c:pt idx="22">
                  <c:v>0.46</c:v>
                </c:pt>
                <c:pt idx="23">
                  <c:v>0.57999999999999996</c:v>
                </c:pt>
                <c:pt idx="24">
                  <c:v>0.34</c:v>
                </c:pt>
                <c:pt idx="25">
                  <c:v>0.25</c:v>
                </c:pt>
                <c:pt idx="26">
                  <c:v>0.42</c:v>
                </c:pt>
                <c:pt idx="27">
                  <c:v>0.2</c:v>
                </c:pt>
                <c:pt idx="28">
                  <c:v>0.52</c:v>
                </c:pt>
                <c:pt idx="29">
                  <c:v>0.53</c:v>
                </c:pt>
                <c:pt idx="30">
                  <c:v>0.49</c:v>
                </c:pt>
                <c:pt idx="31">
                  <c:v>0.41</c:v>
                </c:pt>
                <c:pt idx="32">
                  <c:v>0.37</c:v>
                </c:pt>
                <c:pt idx="33">
                  <c:v>0.48</c:v>
                </c:pt>
                <c:pt idx="34">
                  <c:v>0.47</c:v>
                </c:pt>
                <c:pt idx="35">
                  <c:v>0.55000000000000004</c:v>
                </c:pt>
                <c:pt idx="36">
                  <c:v>0.49</c:v>
                </c:pt>
                <c:pt idx="37">
                  <c:v>0.47</c:v>
                </c:pt>
                <c:pt idx="38">
                  <c:v>0.39</c:v>
                </c:pt>
                <c:pt idx="39">
                  <c:v>0.5</c:v>
                </c:pt>
                <c:pt idx="40">
                  <c:v>0.32</c:v>
                </c:pt>
                <c:pt idx="41">
                  <c:v>0.52</c:v>
                </c:pt>
                <c:pt idx="42">
                  <c:v>0.41</c:v>
                </c:pt>
                <c:pt idx="43">
                  <c:v>0.24</c:v>
                </c:pt>
                <c:pt idx="44">
                  <c:v>0.31</c:v>
                </c:pt>
                <c:pt idx="45">
                  <c:v>0.32</c:v>
                </c:pt>
                <c:pt idx="46">
                  <c:v>0.4</c:v>
                </c:pt>
                <c:pt idx="47">
                  <c:v>0.4</c:v>
                </c:pt>
                <c:pt idx="48">
                  <c:v>0.25</c:v>
                </c:pt>
                <c:pt idx="49">
                  <c:v>0.26</c:v>
                </c:pt>
                <c:pt idx="50">
                  <c:v>0.4</c:v>
                </c:pt>
                <c:pt idx="51">
                  <c:v>0.46</c:v>
                </c:pt>
                <c:pt idx="52">
                  <c:v>0.36</c:v>
                </c:pt>
                <c:pt idx="53">
                  <c:v>0.31</c:v>
                </c:pt>
                <c:pt idx="54">
                  <c:v>0.19</c:v>
                </c:pt>
                <c:pt idx="55">
                  <c:v>0.41</c:v>
                </c:pt>
                <c:pt idx="56">
                  <c:v>0.25</c:v>
                </c:pt>
                <c:pt idx="57">
                  <c:v>0.44</c:v>
                </c:pt>
                <c:pt idx="58">
                  <c:v>0.33</c:v>
                </c:pt>
                <c:pt idx="59">
                  <c:v>0.28999999999999998</c:v>
                </c:pt>
                <c:pt idx="60">
                  <c:v>0.23</c:v>
                </c:pt>
                <c:pt idx="61">
                  <c:v>0.44</c:v>
                </c:pt>
                <c:pt idx="62">
                  <c:v>0.4</c:v>
                </c:pt>
                <c:pt idx="63">
                  <c:v>0.47</c:v>
                </c:pt>
                <c:pt idx="64">
                  <c:v>0.2</c:v>
                </c:pt>
                <c:pt idx="65">
                  <c:v>0.46</c:v>
                </c:pt>
                <c:pt idx="66">
                  <c:v>0.35</c:v>
                </c:pt>
                <c:pt idx="67">
                  <c:v>0.21</c:v>
                </c:pt>
                <c:pt idx="68">
                  <c:v>0.08</c:v>
                </c:pt>
                <c:pt idx="69">
                  <c:v>0.11</c:v>
                </c:pt>
                <c:pt idx="70">
                  <c:v>8.5000000000000006E-2</c:v>
                </c:pt>
                <c:pt idx="71">
                  <c:v>0.2</c:v>
                </c:pt>
                <c:pt idx="72">
                  <c:v>7.0000000000000007E-2</c:v>
                </c:pt>
                <c:pt idx="73">
                  <c:v>0.155</c:v>
                </c:pt>
                <c:pt idx="74">
                  <c:v>0.18</c:v>
                </c:pt>
                <c:pt idx="75">
                  <c:v>0.13500000000000001</c:v>
                </c:pt>
                <c:pt idx="76">
                  <c:v>0.20499999999999999</c:v>
                </c:pt>
                <c:pt idx="77">
                  <c:v>0.1</c:v>
                </c:pt>
                <c:pt idx="78">
                  <c:v>0.115</c:v>
                </c:pt>
                <c:pt idx="79">
                  <c:v>3.5000000000000003E-2</c:v>
                </c:pt>
                <c:pt idx="80">
                  <c:v>0.06</c:v>
                </c:pt>
                <c:pt idx="81">
                  <c:v>9.5000000000000001E-2</c:v>
                </c:pt>
                <c:pt idx="82">
                  <c:v>0.12</c:v>
                </c:pt>
                <c:pt idx="83">
                  <c:v>0.105</c:v>
                </c:pt>
                <c:pt idx="84">
                  <c:v>1.4999999999999999E-2</c:v>
                </c:pt>
                <c:pt idx="85">
                  <c:v>1.4999999999999999E-2</c:v>
                </c:pt>
                <c:pt idx="86">
                  <c:v>0.04</c:v>
                </c:pt>
                <c:pt idx="87">
                  <c:v>0.13500000000000001</c:v>
                </c:pt>
                <c:pt idx="88">
                  <c:v>7.0000000000000007E-2</c:v>
                </c:pt>
                <c:pt idx="89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56-4A1F-9BD6-5E18E2880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9513960"/>
        <c:axId val="518937472"/>
      </c:barChart>
      <c:stockChart>
        <c:ser>
          <c:idx val="0"/>
          <c:order val="1"/>
          <c:tx>
            <c:strRef>
              <c:f>'History Log'!$C$1</c:f>
              <c:strCache>
                <c:ptCount val="1"/>
                <c:pt idx="0">
                  <c:v>Open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cat>
            <c:numRef>
              <c:f>'History Log'!$A$2:$A$91</c:f>
              <c:numCache>
                <c:formatCode>m/d/yyyy;@</c:formatCode>
                <c:ptCount val="90"/>
                <c:pt idx="0">
                  <c:v>38858</c:v>
                </c:pt>
                <c:pt idx="1">
                  <c:v>38857</c:v>
                </c:pt>
                <c:pt idx="2">
                  <c:v>38856</c:v>
                </c:pt>
                <c:pt idx="3">
                  <c:v>38855</c:v>
                </c:pt>
                <c:pt idx="4">
                  <c:v>38854</c:v>
                </c:pt>
                <c:pt idx="5">
                  <c:v>38851</c:v>
                </c:pt>
                <c:pt idx="6">
                  <c:v>38850</c:v>
                </c:pt>
                <c:pt idx="7">
                  <c:v>38849</c:v>
                </c:pt>
                <c:pt idx="8">
                  <c:v>38848</c:v>
                </c:pt>
                <c:pt idx="9">
                  <c:v>38847</c:v>
                </c:pt>
                <c:pt idx="10">
                  <c:v>38844</c:v>
                </c:pt>
                <c:pt idx="11">
                  <c:v>38843</c:v>
                </c:pt>
                <c:pt idx="12">
                  <c:v>38842</c:v>
                </c:pt>
                <c:pt idx="13">
                  <c:v>38841</c:v>
                </c:pt>
                <c:pt idx="14">
                  <c:v>38840</c:v>
                </c:pt>
                <c:pt idx="15">
                  <c:v>38837</c:v>
                </c:pt>
                <c:pt idx="16">
                  <c:v>38836</c:v>
                </c:pt>
                <c:pt idx="17">
                  <c:v>38835</c:v>
                </c:pt>
                <c:pt idx="18">
                  <c:v>38834</c:v>
                </c:pt>
                <c:pt idx="19">
                  <c:v>38833</c:v>
                </c:pt>
                <c:pt idx="20">
                  <c:v>38830</c:v>
                </c:pt>
                <c:pt idx="21">
                  <c:v>38829</c:v>
                </c:pt>
                <c:pt idx="22">
                  <c:v>38828</c:v>
                </c:pt>
                <c:pt idx="23">
                  <c:v>38827</c:v>
                </c:pt>
                <c:pt idx="24">
                  <c:v>38826</c:v>
                </c:pt>
                <c:pt idx="25">
                  <c:v>38823</c:v>
                </c:pt>
                <c:pt idx="26">
                  <c:v>38822</c:v>
                </c:pt>
                <c:pt idx="27">
                  <c:v>38821</c:v>
                </c:pt>
                <c:pt idx="28">
                  <c:v>38820</c:v>
                </c:pt>
                <c:pt idx="29">
                  <c:v>38819</c:v>
                </c:pt>
                <c:pt idx="30">
                  <c:v>38816</c:v>
                </c:pt>
                <c:pt idx="31">
                  <c:v>38815</c:v>
                </c:pt>
                <c:pt idx="32">
                  <c:v>38814</c:v>
                </c:pt>
                <c:pt idx="33">
                  <c:v>38813</c:v>
                </c:pt>
                <c:pt idx="34">
                  <c:v>38812</c:v>
                </c:pt>
                <c:pt idx="35">
                  <c:v>38809</c:v>
                </c:pt>
                <c:pt idx="36">
                  <c:v>38808</c:v>
                </c:pt>
                <c:pt idx="37">
                  <c:v>38807</c:v>
                </c:pt>
                <c:pt idx="38">
                  <c:v>38806</c:v>
                </c:pt>
                <c:pt idx="39">
                  <c:v>38805</c:v>
                </c:pt>
                <c:pt idx="40">
                  <c:v>38802</c:v>
                </c:pt>
                <c:pt idx="41">
                  <c:v>38801</c:v>
                </c:pt>
                <c:pt idx="42">
                  <c:v>38800</c:v>
                </c:pt>
                <c:pt idx="43">
                  <c:v>38799</c:v>
                </c:pt>
                <c:pt idx="44">
                  <c:v>38798</c:v>
                </c:pt>
                <c:pt idx="45">
                  <c:v>38795</c:v>
                </c:pt>
                <c:pt idx="46">
                  <c:v>38794</c:v>
                </c:pt>
                <c:pt idx="47">
                  <c:v>38793</c:v>
                </c:pt>
                <c:pt idx="48">
                  <c:v>38792</c:v>
                </c:pt>
                <c:pt idx="49">
                  <c:v>38791</c:v>
                </c:pt>
                <c:pt idx="50">
                  <c:v>38788</c:v>
                </c:pt>
                <c:pt idx="51">
                  <c:v>38787</c:v>
                </c:pt>
                <c:pt idx="52">
                  <c:v>38786</c:v>
                </c:pt>
                <c:pt idx="53">
                  <c:v>38785</c:v>
                </c:pt>
                <c:pt idx="54">
                  <c:v>38784</c:v>
                </c:pt>
                <c:pt idx="55">
                  <c:v>38781</c:v>
                </c:pt>
                <c:pt idx="56">
                  <c:v>38780</c:v>
                </c:pt>
                <c:pt idx="57">
                  <c:v>38779</c:v>
                </c:pt>
                <c:pt idx="58">
                  <c:v>38778</c:v>
                </c:pt>
                <c:pt idx="59">
                  <c:v>38777</c:v>
                </c:pt>
                <c:pt idx="60">
                  <c:v>38775</c:v>
                </c:pt>
                <c:pt idx="61">
                  <c:v>38774</c:v>
                </c:pt>
                <c:pt idx="62">
                  <c:v>38773</c:v>
                </c:pt>
                <c:pt idx="63">
                  <c:v>38772</c:v>
                </c:pt>
                <c:pt idx="64">
                  <c:v>38771</c:v>
                </c:pt>
                <c:pt idx="65">
                  <c:v>38768</c:v>
                </c:pt>
                <c:pt idx="66">
                  <c:v>38767</c:v>
                </c:pt>
                <c:pt idx="67">
                  <c:v>38766</c:v>
                </c:pt>
                <c:pt idx="68">
                  <c:v>38765</c:v>
                </c:pt>
                <c:pt idx="69">
                  <c:v>38764</c:v>
                </c:pt>
                <c:pt idx="70">
                  <c:v>38761</c:v>
                </c:pt>
                <c:pt idx="71">
                  <c:v>38760</c:v>
                </c:pt>
                <c:pt idx="72">
                  <c:v>38759</c:v>
                </c:pt>
                <c:pt idx="73">
                  <c:v>38758</c:v>
                </c:pt>
                <c:pt idx="74">
                  <c:v>38757</c:v>
                </c:pt>
                <c:pt idx="75">
                  <c:v>38754</c:v>
                </c:pt>
                <c:pt idx="76">
                  <c:v>38753</c:v>
                </c:pt>
                <c:pt idx="77">
                  <c:v>38752</c:v>
                </c:pt>
                <c:pt idx="78">
                  <c:v>38751</c:v>
                </c:pt>
                <c:pt idx="79">
                  <c:v>38750</c:v>
                </c:pt>
                <c:pt idx="80">
                  <c:v>38747</c:v>
                </c:pt>
                <c:pt idx="81">
                  <c:v>38746</c:v>
                </c:pt>
                <c:pt idx="82">
                  <c:v>38745</c:v>
                </c:pt>
                <c:pt idx="83">
                  <c:v>38744</c:v>
                </c:pt>
                <c:pt idx="84">
                  <c:v>38743</c:v>
                </c:pt>
                <c:pt idx="85">
                  <c:v>38740</c:v>
                </c:pt>
                <c:pt idx="86">
                  <c:v>38739</c:v>
                </c:pt>
                <c:pt idx="87">
                  <c:v>38738</c:v>
                </c:pt>
                <c:pt idx="88">
                  <c:v>38737</c:v>
                </c:pt>
                <c:pt idx="89">
                  <c:v>38736</c:v>
                </c:pt>
              </c:numCache>
            </c:numRef>
          </c:cat>
          <c:val>
            <c:numRef>
              <c:f>[0]!Open</c:f>
              <c:numCache>
                <c:formatCode>0.00</c:formatCode>
                <c:ptCount val="90"/>
                <c:pt idx="0">
                  <c:v>37.1</c:v>
                </c:pt>
                <c:pt idx="1">
                  <c:v>36.799999999999997</c:v>
                </c:pt>
                <c:pt idx="2">
                  <c:v>39</c:v>
                </c:pt>
                <c:pt idx="3">
                  <c:v>38</c:v>
                </c:pt>
                <c:pt idx="4">
                  <c:v>38.5</c:v>
                </c:pt>
                <c:pt idx="5">
                  <c:v>37.799999999999997</c:v>
                </c:pt>
                <c:pt idx="6">
                  <c:v>38</c:v>
                </c:pt>
                <c:pt idx="7">
                  <c:v>37</c:v>
                </c:pt>
                <c:pt idx="8">
                  <c:v>37.299999999999997</c:v>
                </c:pt>
                <c:pt idx="9">
                  <c:v>37.5</c:v>
                </c:pt>
                <c:pt idx="10">
                  <c:v>36.5</c:v>
                </c:pt>
                <c:pt idx="11">
                  <c:v>36.6</c:v>
                </c:pt>
                <c:pt idx="12">
                  <c:v>38</c:v>
                </c:pt>
                <c:pt idx="13">
                  <c:v>36.700000000000003</c:v>
                </c:pt>
                <c:pt idx="14">
                  <c:v>37</c:v>
                </c:pt>
                <c:pt idx="15">
                  <c:v>37</c:v>
                </c:pt>
                <c:pt idx="16">
                  <c:v>38.299999999999997</c:v>
                </c:pt>
                <c:pt idx="17">
                  <c:v>38.9</c:v>
                </c:pt>
                <c:pt idx="18">
                  <c:v>38</c:v>
                </c:pt>
                <c:pt idx="19">
                  <c:v>37.200000000000003</c:v>
                </c:pt>
                <c:pt idx="20">
                  <c:v>37.5</c:v>
                </c:pt>
                <c:pt idx="21">
                  <c:v>36.299999999999997</c:v>
                </c:pt>
                <c:pt idx="22">
                  <c:v>36.700000000000003</c:v>
                </c:pt>
                <c:pt idx="23">
                  <c:v>37.200000000000003</c:v>
                </c:pt>
                <c:pt idx="24">
                  <c:v>36.299999999999997</c:v>
                </c:pt>
                <c:pt idx="25">
                  <c:v>36.9</c:v>
                </c:pt>
                <c:pt idx="26">
                  <c:v>36.200000000000003</c:v>
                </c:pt>
                <c:pt idx="27">
                  <c:v>36.299999999999997</c:v>
                </c:pt>
                <c:pt idx="28">
                  <c:v>35.4</c:v>
                </c:pt>
                <c:pt idx="29">
                  <c:v>35.700000000000003</c:v>
                </c:pt>
                <c:pt idx="30">
                  <c:v>36.6</c:v>
                </c:pt>
                <c:pt idx="31">
                  <c:v>36.299999999999997</c:v>
                </c:pt>
                <c:pt idx="32">
                  <c:v>35.799999999999997</c:v>
                </c:pt>
                <c:pt idx="33">
                  <c:v>36.799999999999997</c:v>
                </c:pt>
                <c:pt idx="34">
                  <c:v>35.6</c:v>
                </c:pt>
                <c:pt idx="35">
                  <c:v>35.9</c:v>
                </c:pt>
                <c:pt idx="36">
                  <c:v>35.200000000000003</c:v>
                </c:pt>
                <c:pt idx="37">
                  <c:v>35.9</c:v>
                </c:pt>
                <c:pt idx="38">
                  <c:v>35.200000000000003</c:v>
                </c:pt>
                <c:pt idx="39">
                  <c:v>35.700000000000003</c:v>
                </c:pt>
                <c:pt idx="40">
                  <c:v>35.1</c:v>
                </c:pt>
                <c:pt idx="41">
                  <c:v>35.799999999999997</c:v>
                </c:pt>
                <c:pt idx="42">
                  <c:v>36.1</c:v>
                </c:pt>
                <c:pt idx="43">
                  <c:v>35.9</c:v>
                </c:pt>
                <c:pt idx="44">
                  <c:v>35.5</c:v>
                </c:pt>
                <c:pt idx="45">
                  <c:v>36.200000000000003</c:v>
                </c:pt>
                <c:pt idx="46">
                  <c:v>35</c:v>
                </c:pt>
                <c:pt idx="47">
                  <c:v>35.4</c:v>
                </c:pt>
                <c:pt idx="48">
                  <c:v>36.700000000000003</c:v>
                </c:pt>
                <c:pt idx="49">
                  <c:v>36.1</c:v>
                </c:pt>
                <c:pt idx="50">
                  <c:v>36.299999999999997</c:v>
                </c:pt>
                <c:pt idx="51">
                  <c:v>36.200000000000003</c:v>
                </c:pt>
                <c:pt idx="52">
                  <c:v>36.6</c:v>
                </c:pt>
                <c:pt idx="53">
                  <c:v>36.5</c:v>
                </c:pt>
                <c:pt idx="54">
                  <c:v>35.5</c:v>
                </c:pt>
                <c:pt idx="55">
                  <c:v>36.1</c:v>
                </c:pt>
                <c:pt idx="56">
                  <c:v>36</c:v>
                </c:pt>
                <c:pt idx="57">
                  <c:v>35.6</c:v>
                </c:pt>
                <c:pt idx="58">
                  <c:v>37</c:v>
                </c:pt>
                <c:pt idx="59">
                  <c:v>35.700000000000003</c:v>
                </c:pt>
                <c:pt idx="60">
                  <c:v>35.5</c:v>
                </c:pt>
                <c:pt idx="61">
                  <c:v>36</c:v>
                </c:pt>
                <c:pt idx="62">
                  <c:v>36.200000000000003</c:v>
                </c:pt>
                <c:pt idx="63">
                  <c:v>35.9</c:v>
                </c:pt>
                <c:pt idx="64">
                  <c:v>36.299999999999997</c:v>
                </c:pt>
                <c:pt idx="65">
                  <c:v>35.9</c:v>
                </c:pt>
                <c:pt idx="66">
                  <c:v>35.4</c:v>
                </c:pt>
                <c:pt idx="67">
                  <c:v>34.5</c:v>
                </c:pt>
                <c:pt idx="68">
                  <c:v>34.5</c:v>
                </c:pt>
                <c:pt idx="69">
                  <c:v>35.299999999999997</c:v>
                </c:pt>
                <c:pt idx="70">
                  <c:v>34.6</c:v>
                </c:pt>
                <c:pt idx="71">
                  <c:v>35.200000000000003</c:v>
                </c:pt>
                <c:pt idx="72">
                  <c:v>34.299999999999997</c:v>
                </c:pt>
                <c:pt idx="73">
                  <c:v>33.4</c:v>
                </c:pt>
                <c:pt idx="74">
                  <c:v>33.799999999999997</c:v>
                </c:pt>
                <c:pt idx="75">
                  <c:v>33.799999999999997</c:v>
                </c:pt>
                <c:pt idx="76">
                  <c:v>34.4</c:v>
                </c:pt>
                <c:pt idx="77">
                  <c:v>36.799999999999997</c:v>
                </c:pt>
                <c:pt idx="78">
                  <c:v>35.9</c:v>
                </c:pt>
                <c:pt idx="79">
                  <c:v>36.299999999999997</c:v>
                </c:pt>
                <c:pt idx="80">
                  <c:v>37.5</c:v>
                </c:pt>
                <c:pt idx="81">
                  <c:v>37.9</c:v>
                </c:pt>
                <c:pt idx="82">
                  <c:v>37.6</c:v>
                </c:pt>
                <c:pt idx="83">
                  <c:v>37.9</c:v>
                </c:pt>
                <c:pt idx="84">
                  <c:v>38.1</c:v>
                </c:pt>
                <c:pt idx="85">
                  <c:v>36.799999999999997</c:v>
                </c:pt>
                <c:pt idx="86">
                  <c:v>36.6</c:v>
                </c:pt>
                <c:pt idx="87">
                  <c:v>36.1</c:v>
                </c:pt>
                <c:pt idx="88">
                  <c:v>36.700000000000003</c:v>
                </c:pt>
                <c:pt idx="89">
                  <c:v>37.1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56-4A1F-9BD6-5E18E2880877}"/>
            </c:ext>
          </c:extLst>
        </c:ser>
        <c:ser>
          <c:idx val="1"/>
          <c:order val="2"/>
          <c:tx>
            <c:strRef>
              <c:f>'History Log'!$D$1</c:f>
              <c:strCache>
                <c:ptCount val="1"/>
                <c:pt idx="0">
                  <c:v>High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cat>
            <c:numRef>
              <c:f>'History Log'!$A$2:$A$91</c:f>
              <c:numCache>
                <c:formatCode>m/d/yyyy;@</c:formatCode>
                <c:ptCount val="90"/>
                <c:pt idx="0">
                  <c:v>38858</c:v>
                </c:pt>
                <c:pt idx="1">
                  <c:v>38857</c:v>
                </c:pt>
                <c:pt idx="2">
                  <c:v>38856</c:v>
                </c:pt>
                <c:pt idx="3">
                  <c:v>38855</c:v>
                </c:pt>
                <c:pt idx="4">
                  <c:v>38854</c:v>
                </c:pt>
                <c:pt idx="5">
                  <c:v>38851</c:v>
                </c:pt>
                <c:pt idx="6">
                  <c:v>38850</c:v>
                </c:pt>
                <c:pt idx="7">
                  <c:v>38849</c:v>
                </c:pt>
                <c:pt idx="8">
                  <c:v>38848</c:v>
                </c:pt>
                <c:pt idx="9">
                  <c:v>38847</c:v>
                </c:pt>
                <c:pt idx="10">
                  <c:v>38844</c:v>
                </c:pt>
                <c:pt idx="11">
                  <c:v>38843</c:v>
                </c:pt>
                <c:pt idx="12">
                  <c:v>38842</c:v>
                </c:pt>
                <c:pt idx="13">
                  <c:v>38841</c:v>
                </c:pt>
                <c:pt idx="14">
                  <c:v>38840</c:v>
                </c:pt>
                <c:pt idx="15">
                  <c:v>38837</c:v>
                </c:pt>
                <c:pt idx="16">
                  <c:v>38836</c:v>
                </c:pt>
                <c:pt idx="17">
                  <c:v>38835</c:v>
                </c:pt>
                <c:pt idx="18">
                  <c:v>38834</c:v>
                </c:pt>
                <c:pt idx="19">
                  <c:v>38833</c:v>
                </c:pt>
                <c:pt idx="20">
                  <c:v>38830</c:v>
                </c:pt>
                <c:pt idx="21">
                  <c:v>38829</c:v>
                </c:pt>
                <c:pt idx="22">
                  <c:v>38828</c:v>
                </c:pt>
                <c:pt idx="23">
                  <c:v>38827</c:v>
                </c:pt>
                <c:pt idx="24">
                  <c:v>38826</c:v>
                </c:pt>
                <c:pt idx="25">
                  <c:v>38823</c:v>
                </c:pt>
                <c:pt idx="26">
                  <c:v>38822</c:v>
                </c:pt>
                <c:pt idx="27">
                  <c:v>38821</c:v>
                </c:pt>
                <c:pt idx="28">
                  <c:v>38820</c:v>
                </c:pt>
                <c:pt idx="29">
                  <c:v>38819</c:v>
                </c:pt>
                <c:pt idx="30">
                  <c:v>38816</c:v>
                </c:pt>
                <c:pt idx="31">
                  <c:v>38815</c:v>
                </c:pt>
                <c:pt idx="32">
                  <c:v>38814</c:v>
                </c:pt>
                <c:pt idx="33">
                  <c:v>38813</c:v>
                </c:pt>
                <c:pt idx="34">
                  <c:v>38812</c:v>
                </c:pt>
                <c:pt idx="35">
                  <c:v>38809</c:v>
                </c:pt>
                <c:pt idx="36">
                  <c:v>38808</c:v>
                </c:pt>
                <c:pt idx="37">
                  <c:v>38807</c:v>
                </c:pt>
                <c:pt idx="38">
                  <c:v>38806</c:v>
                </c:pt>
                <c:pt idx="39">
                  <c:v>38805</c:v>
                </c:pt>
                <c:pt idx="40">
                  <c:v>38802</c:v>
                </c:pt>
                <c:pt idx="41">
                  <c:v>38801</c:v>
                </c:pt>
                <c:pt idx="42">
                  <c:v>38800</c:v>
                </c:pt>
                <c:pt idx="43">
                  <c:v>38799</c:v>
                </c:pt>
                <c:pt idx="44">
                  <c:v>38798</c:v>
                </c:pt>
                <c:pt idx="45">
                  <c:v>38795</c:v>
                </c:pt>
                <c:pt idx="46">
                  <c:v>38794</c:v>
                </c:pt>
                <c:pt idx="47">
                  <c:v>38793</c:v>
                </c:pt>
                <c:pt idx="48">
                  <c:v>38792</c:v>
                </c:pt>
                <c:pt idx="49">
                  <c:v>38791</c:v>
                </c:pt>
                <c:pt idx="50">
                  <c:v>38788</c:v>
                </c:pt>
                <c:pt idx="51">
                  <c:v>38787</c:v>
                </c:pt>
                <c:pt idx="52">
                  <c:v>38786</c:v>
                </c:pt>
                <c:pt idx="53">
                  <c:v>38785</c:v>
                </c:pt>
                <c:pt idx="54">
                  <c:v>38784</c:v>
                </c:pt>
                <c:pt idx="55">
                  <c:v>38781</c:v>
                </c:pt>
                <c:pt idx="56">
                  <c:v>38780</c:v>
                </c:pt>
                <c:pt idx="57">
                  <c:v>38779</c:v>
                </c:pt>
                <c:pt idx="58">
                  <c:v>38778</c:v>
                </c:pt>
                <c:pt idx="59">
                  <c:v>38777</c:v>
                </c:pt>
                <c:pt idx="60">
                  <c:v>38775</c:v>
                </c:pt>
                <c:pt idx="61">
                  <c:v>38774</c:v>
                </c:pt>
                <c:pt idx="62">
                  <c:v>38773</c:v>
                </c:pt>
                <c:pt idx="63">
                  <c:v>38772</c:v>
                </c:pt>
                <c:pt idx="64">
                  <c:v>38771</c:v>
                </c:pt>
                <c:pt idx="65">
                  <c:v>38768</c:v>
                </c:pt>
                <c:pt idx="66">
                  <c:v>38767</c:v>
                </c:pt>
                <c:pt idx="67">
                  <c:v>38766</c:v>
                </c:pt>
                <c:pt idx="68">
                  <c:v>38765</c:v>
                </c:pt>
                <c:pt idx="69">
                  <c:v>38764</c:v>
                </c:pt>
                <c:pt idx="70">
                  <c:v>38761</c:v>
                </c:pt>
                <c:pt idx="71">
                  <c:v>38760</c:v>
                </c:pt>
                <c:pt idx="72">
                  <c:v>38759</c:v>
                </c:pt>
                <c:pt idx="73">
                  <c:v>38758</c:v>
                </c:pt>
                <c:pt idx="74">
                  <c:v>38757</c:v>
                </c:pt>
                <c:pt idx="75">
                  <c:v>38754</c:v>
                </c:pt>
                <c:pt idx="76">
                  <c:v>38753</c:v>
                </c:pt>
                <c:pt idx="77">
                  <c:v>38752</c:v>
                </c:pt>
                <c:pt idx="78">
                  <c:v>38751</c:v>
                </c:pt>
                <c:pt idx="79">
                  <c:v>38750</c:v>
                </c:pt>
                <c:pt idx="80">
                  <c:v>38747</c:v>
                </c:pt>
                <c:pt idx="81">
                  <c:v>38746</c:v>
                </c:pt>
                <c:pt idx="82">
                  <c:v>38745</c:v>
                </c:pt>
                <c:pt idx="83">
                  <c:v>38744</c:v>
                </c:pt>
                <c:pt idx="84">
                  <c:v>38743</c:v>
                </c:pt>
                <c:pt idx="85">
                  <c:v>38740</c:v>
                </c:pt>
                <c:pt idx="86">
                  <c:v>38739</c:v>
                </c:pt>
                <c:pt idx="87">
                  <c:v>38738</c:v>
                </c:pt>
                <c:pt idx="88">
                  <c:v>38737</c:v>
                </c:pt>
                <c:pt idx="89">
                  <c:v>38736</c:v>
                </c:pt>
              </c:numCache>
            </c:numRef>
          </c:cat>
          <c:val>
            <c:numRef>
              <c:f>[0]!High</c:f>
              <c:numCache>
                <c:formatCode>0.00</c:formatCode>
                <c:ptCount val="90"/>
                <c:pt idx="0">
                  <c:v>38.299999999999997</c:v>
                </c:pt>
                <c:pt idx="1">
                  <c:v>37.9</c:v>
                </c:pt>
                <c:pt idx="2">
                  <c:v>39.5</c:v>
                </c:pt>
                <c:pt idx="3">
                  <c:v>39.5</c:v>
                </c:pt>
                <c:pt idx="4">
                  <c:v>38.32</c:v>
                </c:pt>
                <c:pt idx="5">
                  <c:v>39.33</c:v>
                </c:pt>
                <c:pt idx="6">
                  <c:v>38.11</c:v>
                </c:pt>
                <c:pt idx="7">
                  <c:v>38.11</c:v>
                </c:pt>
                <c:pt idx="8">
                  <c:v>37.6</c:v>
                </c:pt>
                <c:pt idx="9">
                  <c:v>37.83</c:v>
                </c:pt>
                <c:pt idx="10">
                  <c:v>37.54</c:v>
                </c:pt>
                <c:pt idx="11">
                  <c:v>36.56</c:v>
                </c:pt>
                <c:pt idx="12">
                  <c:v>36.85</c:v>
                </c:pt>
                <c:pt idx="13">
                  <c:v>38.659999999999997</c:v>
                </c:pt>
                <c:pt idx="14">
                  <c:v>36.86</c:v>
                </c:pt>
                <c:pt idx="15">
                  <c:v>37.86</c:v>
                </c:pt>
                <c:pt idx="16">
                  <c:v>37.71</c:v>
                </c:pt>
                <c:pt idx="17">
                  <c:v>38.68</c:v>
                </c:pt>
                <c:pt idx="18">
                  <c:v>39.61</c:v>
                </c:pt>
                <c:pt idx="19">
                  <c:v>38.47</c:v>
                </c:pt>
                <c:pt idx="20">
                  <c:v>37.96</c:v>
                </c:pt>
                <c:pt idx="21">
                  <c:v>38.119999999999997</c:v>
                </c:pt>
                <c:pt idx="22">
                  <c:v>36.590000000000003</c:v>
                </c:pt>
                <c:pt idx="23">
                  <c:v>37.46</c:v>
                </c:pt>
                <c:pt idx="24">
                  <c:v>37.520000000000003</c:v>
                </c:pt>
                <c:pt idx="25">
                  <c:v>36.74</c:v>
                </c:pt>
                <c:pt idx="26">
                  <c:v>37.54</c:v>
                </c:pt>
                <c:pt idx="27">
                  <c:v>37.17</c:v>
                </c:pt>
                <c:pt idx="28">
                  <c:v>37.229999999999997</c:v>
                </c:pt>
                <c:pt idx="29">
                  <c:v>35.979999999999997</c:v>
                </c:pt>
                <c:pt idx="30">
                  <c:v>36.68</c:v>
                </c:pt>
                <c:pt idx="31">
                  <c:v>37.46</c:v>
                </c:pt>
                <c:pt idx="32">
                  <c:v>37.049999999999997</c:v>
                </c:pt>
                <c:pt idx="33">
                  <c:v>36.18</c:v>
                </c:pt>
                <c:pt idx="34">
                  <c:v>37.5</c:v>
                </c:pt>
                <c:pt idx="35">
                  <c:v>35.71</c:v>
                </c:pt>
                <c:pt idx="36">
                  <c:v>36.33</c:v>
                </c:pt>
                <c:pt idx="37">
                  <c:v>35.21</c:v>
                </c:pt>
                <c:pt idx="38">
                  <c:v>36.81</c:v>
                </c:pt>
                <c:pt idx="39">
                  <c:v>35.65</c:v>
                </c:pt>
                <c:pt idx="40">
                  <c:v>35.74</c:v>
                </c:pt>
                <c:pt idx="41">
                  <c:v>35.450000000000003</c:v>
                </c:pt>
                <c:pt idx="42">
                  <c:v>36.72</c:v>
                </c:pt>
                <c:pt idx="43">
                  <c:v>36.1</c:v>
                </c:pt>
                <c:pt idx="44">
                  <c:v>36.82</c:v>
                </c:pt>
                <c:pt idx="45">
                  <c:v>35.67</c:v>
                </c:pt>
                <c:pt idx="46">
                  <c:v>36.200000000000003</c:v>
                </c:pt>
                <c:pt idx="47">
                  <c:v>35.43</c:v>
                </c:pt>
                <c:pt idx="48">
                  <c:v>35.520000000000003</c:v>
                </c:pt>
                <c:pt idx="49">
                  <c:v>36.79</c:v>
                </c:pt>
                <c:pt idx="50">
                  <c:v>36.4</c:v>
                </c:pt>
                <c:pt idx="51">
                  <c:v>36.6</c:v>
                </c:pt>
                <c:pt idx="52">
                  <c:v>36.36</c:v>
                </c:pt>
                <c:pt idx="53">
                  <c:v>36.770000000000003</c:v>
                </c:pt>
                <c:pt idx="54">
                  <c:v>36.64</c:v>
                </c:pt>
                <c:pt idx="55">
                  <c:v>36.49</c:v>
                </c:pt>
                <c:pt idx="56">
                  <c:v>36.32</c:v>
                </c:pt>
                <c:pt idx="57">
                  <c:v>36.81</c:v>
                </c:pt>
                <c:pt idx="58">
                  <c:v>36.35</c:v>
                </c:pt>
                <c:pt idx="59">
                  <c:v>37.090000000000003</c:v>
                </c:pt>
                <c:pt idx="60">
                  <c:v>36.130000000000003</c:v>
                </c:pt>
                <c:pt idx="61">
                  <c:v>36.479999999999997</c:v>
                </c:pt>
                <c:pt idx="62">
                  <c:v>36.6</c:v>
                </c:pt>
                <c:pt idx="63">
                  <c:v>36.869999999999997</c:v>
                </c:pt>
                <c:pt idx="64">
                  <c:v>36.31</c:v>
                </c:pt>
                <c:pt idx="65">
                  <c:v>37.19</c:v>
                </c:pt>
                <c:pt idx="66">
                  <c:v>36.590000000000003</c:v>
                </c:pt>
                <c:pt idx="67">
                  <c:v>35.979999999999997</c:v>
                </c:pt>
                <c:pt idx="68">
                  <c:v>34.83</c:v>
                </c:pt>
                <c:pt idx="69">
                  <c:v>35.270000000000003</c:v>
                </c:pt>
                <c:pt idx="70">
                  <c:v>36.049999999999997</c:v>
                </c:pt>
                <c:pt idx="71">
                  <c:v>35.06</c:v>
                </c:pt>
                <c:pt idx="72">
                  <c:v>35.92</c:v>
                </c:pt>
                <c:pt idx="73">
                  <c:v>34.74</c:v>
                </c:pt>
                <c:pt idx="74">
                  <c:v>33.659999999999997</c:v>
                </c:pt>
                <c:pt idx="75">
                  <c:v>33.909999999999997</c:v>
                </c:pt>
                <c:pt idx="76">
                  <c:v>34.72</c:v>
                </c:pt>
                <c:pt idx="77">
                  <c:v>34.76</c:v>
                </c:pt>
                <c:pt idx="78">
                  <c:v>36.96</c:v>
                </c:pt>
                <c:pt idx="79">
                  <c:v>36.11</c:v>
                </c:pt>
                <c:pt idx="80">
                  <c:v>37.18</c:v>
                </c:pt>
                <c:pt idx="81">
                  <c:v>37.56</c:v>
                </c:pt>
                <c:pt idx="82">
                  <c:v>38.79</c:v>
                </c:pt>
                <c:pt idx="83">
                  <c:v>38.04</c:v>
                </c:pt>
                <c:pt idx="84">
                  <c:v>38.5</c:v>
                </c:pt>
                <c:pt idx="85">
                  <c:v>38.42</c:v>
                </c:pt>
                <c:pt idx="86">
                  <c:v>37.65</c:v>
                </c:pt>
                <c:pt idx="87">
                  <c:v>36.659999999999997</c:v>
                </c:pt>
                <c:pt idx="88">
                  <c:v>37.1</c:v>
                </c:pt>
                <c:pt idx="89">
                  <c:v>36.93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56-4A1F-9BD6-5E18E2880877}"/>
            </c:ext>
          </c:extLst>
        </c:ser>
        <c:ser>
          <c:idx val="2"/>
          <c:order val="3"/>
          <c:tx>
            <c:strRef>
              <c:f>'History Log'!$E$1</c:f>
              <c:strCache>
                <c:ptCount val="1"/>
                <c:pt idx="0">
                  <c:v>Low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cat>
            <c:numRef>
              <c:f>'History Log'!$A$2:$A$91</c:f>
              <c:numCache>
                <c:formatCode>m/d/yyyy;@</c:formatCode>
                <c:ptCount val="90"/>
                <c:pt idx="0">
                  <c:v>38858</c:v>
                </c:pt>
                <c:pt idx="1">
                  <c:v>38857</c:v>
                </c:pt>
                <c:pt idx="2">
                  <c:v>38856</c:v>
                </c:pt>
                <c:pt idx="3">
                  <c:v>38855</c:v>
                </c:pt>
                <c:pt idx="4">
                  <c:v>38854</c:v>
                </c:pt>
                <c:pt idx="5">
                  <c:v>38851</c:v>
                </c:pt>
                <c:pt idx="6">
                  <c:v>38850</c:v>
                </c:pt>
                <c:pt idx="7">
                  <c:v>38849</c:v>
                </c:pt>
                <c:pt idx="8">
                  <c:v>38848</c:v>
                </c:pt>
                <c:pt idx="9">
                  <c:v>38847</c:v>
                </c:pt>
                <c:pt idx="10">
                  <c:v>38844</c:v>
                </c:pt>
                <c:pt idx="11">
                  <c:v>38843</c:v>
                </c:pt>
                <c:pt idx="12">
                  <c:v>38842</c:v>
                </c:pt>
                <c:pt idx="13">
                  <c:v>38841</c:v>
                </c:pt>
                <c:pt idx="14">
                  <c:v>38840</c:v>
                </c:pt>
                <c:pt idx="15">
                  <c:v>38837</c:v>
                </c:pt>
                <c:pt idx="16">
                  <c:v>38836</c:v>
                </c:pt>
                <c:pt idx="17">
                  <c:v>38835</c:v>
                </c:pt>
                <c:pt idx="18">
                  <c:v>38834</c:v>
                </c:pt>
                <c:pt idx="19">
                  <c:v>38833</c:v>
                </c:pt>
                <c:pt idx="20">
                  <c:v>38830</c:v>
                </c:pt>
                <c:pt idx="21">
                  <c:v>38829</c:v>
                </c:pt>
                <c:pt idx="22">
                  <c:v>38828</c:v>
                </c:pt>
                <c:pt idx="23">
                  <c:v>38827</c:v>
                </c:pt>
                <c:pt idx="24">
                  <c:v>38826</c:v>
                </c:pt>
                <c:pt idx="25">
                  <c:v>38823</c:v>
                </c:pt>
                <c:pt idx="26">
                  <c:v>38822</c:v>
                </c:pt>
                <c:pt idx="27">
                  <c:v>38821</c:v>
                </c:pt>
                <c:pt idx="28">
                  <c:v>38820</c:v>
                </c:pt>
                <c:pt idx="29">
                  <c:v>38819</c:v>
                </c:pt>
                <c:pt idx="30">
                  <c:v>38816</c:v>
                </c:pt>
                <c:pt idx="31">
                  <c:v>38815</c:v>
                </c:pt>
                <c:pt idx="32">
                  <c:v>38814</c:v>
                </c:pt>
                <c:pt idx="33">
                  <c:v>38813</c:v>
                </c:pt>
                <c:pt idx="34">
                  <c:v>38812</c:v>
                </c:pt>
                <c:pt idx="35">
                  <c:v>38809</c:v>
                </c:pt>
                <c:pt idx="36">
                  <c:v>38808</c:v>
                </c:pt>
                <c:pt idx="37">
                  <c:v>38807</c:v>
                </c:pt>
                <c:pt idx="38">
                  <c:v>38806</c:v>
                </c:pt>
                <c:pt idx="39">
                  <c:v>38805</c:v>
                </c:pt>
                <c:pt idx="40">
                  <c:v>38802</c:v>
                </c:pt>
                <c:pt idx="41">
                  <c:v>38801</c:v>
                </c:pt>
                <c:pt idx="42">
                  <c:v>38800</c:v>
                </c:pt>
                <c:pt idx="43">
                  <c:v>38799</c:v>
                </c:pt>
                <c:pt idx="44">
                  <c:v>38798</c:v>
                </c:pt>
                <c:pt idx="45">
                  <c:v>38795</c:v>
                </c:pt>
                <c:pt idx="46">
                  <c:v>38794</c:v>
                </c:pt>
                <c:pt idx="47">
                  <c:v>38793</c:v>
                </c:pt>
                <c:pt idx="48">
                  <c:v>38792</c:v>
                </c:pt>
                <c:pt idx="49">
                  <c:v>38791</c:v>
                </c:pt>
                <c:pt idx="50">
                  <c:v>38788</c:v>
                </c:pt>
                <c:pt idx="51">
                  <c:v>38787</c:v>
                </c:pt>
                <c:pt idx="52">
                  <c:v>38786</c:v>
                </c:pt>
                <c:pt idx="53">
                  <c:v>38785</c:v>
                </c:pt>
                <c:pt idx="54">
                  <c:v>38784</c:v>
                </c:pt>
                <c:pt idx="55">
                  <c:v>38781</c:v>
                </c:pt>
                <c:pt idx="56">
                  <c:v>38780</c:v>
                </c:pt>
                <c:pt idx="57">
                  <c:v>38779</c:v>
                </c:pt>
                <c:pt idx="58">
                  <c:v>38778</c:v>
                </c:pt>
                <c:pt idx="59">
                  <c:v>38777</c:v>
                </c:pt>
                <c:pt idx="60">
                  <c:v>38775</c:v>
                </c:pt>
                <c:pt idx="61">
                  <c:v>38774</c:v>
                </c:pt>
                <c:pt idx="62">
                  <c:v>38773</c:v>
                </c:pt>
                <c:pt idx="63">
                  <c:v>38772</c:v>
                </c:pt>
                <c:pt idx="64">
                  <c:v>38771</c:v>
                </c:pt>
                <c:pt idx="65">
                  <c:v>38768</c:v>
                </c:pt>
                <c:pt idx="66">
                  <c:v>38767</c:v>
                </c:pt>
                <c:pt idx="67">
                  <c:v>38766</c:v>
                </c:pt>
                <c:pt idx="68">
                  <c:v>38765</c:v>
                </c:pt>
                <c:pt idx="69">
                  <c:v>38764</c:v>
                </c:pt>
                <c:pt idx="70">
                  <c:v>38761</c:v>
                </c:pt>
                <c:pt idx="71">
                  <c:v>38760</c:v>
                </c:pt>
                <c:pt idx="72">
                  <c:v>38759</c:v>
                </c:pt>
                <c:pt idx="73">
                  <c:v>38758</c:v>
                </c:pt>
                <c:pt idx="74">
                  <c:v>38757</c:v>
                </c:pt>
                <c:pt idx="75">
                  <c:v>38754</c:v>
                </c:pt>
                <c:pt idx="76">
                  <c:v>38753</c:v>
                </c:pt>
                <c:pt idx="77">
                  <c:v>38752</c:v>
                </c:pt>
                <c:pt idx="78">
                  <c:v>38751</c:v>
                </c:pt>
                <c:pt idx="79">
                  <c:v>38750</c:v>
                </c:pt>
                <c:pt idx="80">
                  <c:v>38747</c:v>
                </c:pt>
                <c:pt idx="81">
                  <c:v>38746</c:v>
                </c:pt>
                <c:pt idx="82">
                  <c:v>38745</c:v>
                </c:pt>
                <c:pt idx="83">
                  <c:v>38744</c:v>
                </c:pt>
                <c:pt idx="84">
                  <c:v>38743</c:v>
                </c:pt>
                <c:pt idx="85">
                  <c:v>38740</c:v>
                </c:pt>
                <c:pt idx="86">
                  <c:v>38739</c:v>
                </c:pt>
                <c:pt idx="87">
                  <c:v>38738</c:v>
                </c:pt>
                <c:pt idx="88">
                  <c:v>38737</c:v>
                </c:pt>
                <c:pt idx="89">
                  <c:v>38736</c:v>
                </c:pt>
              </c:numCache>
            </c:numRef>
          </c:cat>
          <c:val>
            <c:numRef>
              <c:f>[0]!Low</c:f>
              <c:numCache>
                <c:formatCode>0.00</c:formatCode>
                <c:ptCount val="90"/>
                <c:pt idx="0">
                  <c:v>35.1</c:v>
                </c:pt>
                <c:pt idx="1">
                  <c:v>36.200000000000003</c:v>
                </c:pt>
                <c:pt idx="2">
                  <c:v>36</c:v>
                </c:pt>
                <c:pt idx="3">
                  <c:v>36</c:v>
                </c:pt>
                <c:pt idx="4">
                  <c:v>37.35</c:v>
                </c:pt>
                <c:pt idx="5">
                  <c:v>38.4</c:v>
                </c:pt>
                <c:pt idx="6">
                  <c:v>36.89</c:v>
                </c:pt>
                <c:pt idx="7">
                  <c:v>37.11</c:v>
                </c:pt>
                <c:pt idx="8">
                  <c:v>36.29</c:v>
                </c:pt>
                <c:pt idx="9">
                  <c:v>36.79</c:v>
                </c:pt>
                <c:pt idx="10">
                  <c:v>36.65</c:v>
                </c:pt>
                <c:pt idx="11">
                  <c:v>35.76</c:v>
                </c:pt>
                <c:pt idx="12">
                  <c:v>35.96</c:v>
                </c:pt>
                <c:pt idx="13">
                  <c:v>37.42</c:v>
                </c:pt>
                <c:pt idx="14">
                  <c:v>36.28</c:v>
                </c:pt>
                <c:pt idx="15">
                  <c:v>36.85</c:v>
                </c:pt>
                <c:pt idx="16">
                  <c:v>36.200000000000003</c:v>
                </c:pt>
                <c:pt idx="17">
                  <c:v>37.9</c:v>
                </c:pt>
                <c:pt idx="18">
                  <c:v>37.950000000000003</c:v>
                </c:pt>
                <c:pt idx="19">
                  <c:v>37.24</c:v>
                </c:pt>
                <c:pt idx="20">
                  <c:v>37.119999999999997</c:v>
                </c:pt>
                <c:pt idx="21">
                  <c:v>36.83</c:v>
                </c:pt>
                <c:pt idx="22">
                  <c:v>35.96</c:v>
                </c:pt>
                <c:pt idx="23">
                  <c:v>36.659999999999997</c:v>
                </c:pt>
                <c:pt idx="24">
                  <c:v>36.92</c:v>
                </c:pt>
                <c:pt idx="25">
                  <c:v>36.049999999999997</c:v>
                </c:pt>
                <c:pt idx="26">
                  <c:v>36.78</c:v>
                </c:pt>
                <c:pt idx="27">
                  <c:v>35.25</c:v>
                </c:pt>
                <c:pt idx="28">
                  <c:v>35.86</c:v>
                </c:pt>
                <c:pt idx="29">
                  <c:v>35.119999999999997</c:v>
                </c:pt>
                <c:pt idx="30">
                  <c:v>35.58</c:v>
                </c:pt>
                <c:pt idx="31">
                  <c:v>36.36</c:v>
                </c:pt>
                <c:pt idx="32">
                  <c:v>35.43</c:v>
                </c:pt>
                <c:pt idx="33">
                  <c:v>35.39</c:v>
                </c:pt>
                <c:pt idx="34">
                  <c:v>36.130000000000003</c:v>
                </c:pt>
                <c:pt idx="35">
                  <c:v>34.71</c:v>
                </c:pt>
                <c:pt idx="36">
                  <c:v>35.44</c:v>
                </c:pt>
                <c:pt idx="37">
                  <c:v>34.770000000000003</c:v>
                </c:pt>
                <c:pt idx="38">
                  <c:v>35.29</c:v>
                </c:pt>
                <c:pt idx="39">
                  <c:v>34.32</c:v>
                </c:pt>
                <c:pt idx="40">
                  <c:v>35.43</c:v>
                </c:pt>
                <c:pt idx="41">
                  <c:v>34.94</c:v>
                </c:pt>
                <c:pt idx="42">
                  <c:v>35.31</c:v>
                </c:pt>
                <c:pt idx="43">
                  <c:v>35.369999999999997</c:v>
                </c:pt>
                <c:pt idx="44">
                  <c:v>35.03</c:v>
                </c:pt>
                <c:pt idx="45">
                  <c:v>34.99</c:v>
                </c:pt>
                <c:pt idx="46">
                  <c:v>35.549999999999997</c:v>
                </c:pt>
                <c:pt idx="47">
                  <c:v>34.06</c:v>
                </c:pt>
                <c:pt idx="48">
                  <c:v>35.29</c:v>
                </c:pt>
                <c:pt idx="49">
                  <c:v>36.4</c:v>
                </c:pt>
                <c:pt idx="50">
                  <c:v>35.43</c:v>
                </c:pt>
                <c:pt idx="51">
                  <c:v>36.159999999999997</c:v>
                </c:pt>
                <c:pt idx="52">
                  <c:v>35.89</c:v>
                </c:pt>
                <c:pt idx="53">
                  <c:v>35.659999999999997</c:v>
                </c:pt>
                <c:pt idx="54">
                  <c:v>36</c:v>
                </c:pt>
                <c:pt idx="55">
                  <c:v>34.71</c:v>
                </c:pt>
                <c:pt idx="56">
                  <c:v>35.78</c:v>
                </c:pt>
                <c:pt idx="57">
                  <c:v>35.67</c:v>
                </c:pt>
                <c:pt idx="58">
                  <c:v>35.1</c:v>
                </c:pt>
                <c:pt idx="59">
                  <c:v>36.17</c:v>
                </c:pt>
                <c:pt idx="60">
                  <c:v>34.979999999999997</c:v>
                </c:pt>
                <c:pt idx="61">
                  <c:v>35.229999999999997</c:v>
                </c:pt>
                <c:pt idx="62">
                  <c:v>35.659999999999997</c:v>
                </c:pt>
                <c:pt idx="63">
                  <c:v>36.18</c:v>
                </c:pt>
                <c:pt idx="64">
                  <c:v>34.99</c:v>
                </c:pt>
                <c:pt idx="65">
                  <c:v>35.4</c:v>
                </c:pt>
                <c:pt idx="66">
                  <c:v>35.049999999999997</c:v>
                </c:pt>
                <c:pt idx="67">
                  <c:v>35.19</c:v>
                </c:pt>
                <c:pt idx="68">
                  <c:v>33.840000000000003</c:v>
                </c:pt>
                <c:pt idx="69">
                  <c:v>34.159999999999997</c:v>
                </c:pt>
                <c:pt idx="70">
                  <c:v>35.18</c:v>
                </c:pt>
                <c:pt idx="71">
                  <c:v>33.700000000000003</c:v>
                </c:pt>
                <c:pt idx="72">
                  <c:v>34.47</c:v>
                </c:pt>
                <c:pt idx="73">
                  <c:v>33.78</c:v>
                </c:pt>
                <c:pt idx="74">
                  <c:v>32.65</c:v>
                </c:pt>
                <c:pt idx="75">
                  <c:v>33.24</c:v>
                </c:pt>
                <c:pt idx="76">
                  <c:v>33.67</c:v>
                </c:pt>
                <c:pt idx="77">
                  <c:v>33.58</c:v>
                </c:pt>
                <c:pt idx="78">
                  <c:v>35.94</c:v>
                </c:pt>
                <c:pt idx="79">
                  <c:v>35.03</c:v>
                </c:pt>
                <c:pt idx="80">
                  <c:v>35.31</c:v>
                </c:pt>
                <c:pt idx="81">
                  <c:v>37.340000000000003</c:v>
                </c:pt>
                <c:pt idx="82">
                  <c:v>36.93</c:v>
                </c:pt>
                <c:pt idx="83">
                  <c:v>37.28</c:v>
                </c:pt>
                <c:pt idx="84">
                  <c:v>37.28</c:v>
                </c:pt>
                <c:pt idx="85">
                  <c:v>38.07</c:v>
                </c:pt>
                <c:pt idx="86">
                  <c:v>36.78</c:v>
                </c:pt>
                <c:pt idx="87">
                  <c:v>36.47</c:v>
                </c:pt>
                <c:pt idx="88">
                  <c:v>35.31</c:v>
                </c:pt>
                <c:pt idx="89">
                  <c:v>36.35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656-4A1F-9BD6-5E18E2880877}"/>
            </c:ext>
          </c:extLst>
        </c:ser>
        <c:ser>
          <c:idx val="3"/>
          <c:order val="4"/>
          <c:tx>
            <c:strRef>
              <c:f>'History Log'!$F$1</c:f>
              <c:strCache>
                <c:ptCount val="1"/>
                <c:pt idx="0">
                  <c:v>Close</c:v>
                </c:pt>
              </c:strCache>
            </c:strRef>
          </c:tx>
          <c:spPr>
            <a:ln w="28575">
              <a:noFill/>
            </a:ln>
          </c:spPr>
          <c:marker>
            <c:symbol val="none"/>
          </c:marker>
          <c:cat>
            <c:numRef>
              <c:f>'History Log'!$A$2:$A$91</c:f>
              <c:numCache>
                <c:formatCode>m/d/yyyy;@</c:formatCode>
                <c:ptCount val="90"/>
                <c:pt idx="0">
                  <c:v>38858</c:v>
                </c:pt>
                <c:pt idx="1">
                  <c:v>38857</c:v>
                </c:pt>
                <c:pt idx="2">
                  <c:v>38856</c:v>
                </c:pt>
                <c:pt idx="3">
                  <c:v>38855</c:v>
                </c:pt>
                <c:pt idx="4">
                  <c:v>38854</c:v>
                </c:pt>
                <c:pt idx="5">
                  <c:v>38851</c:v>
                </c:pt>
                <c:pt idx="6">
                  <c:v>38850</c:v>
                </c:pt>
                <c:pt idx="7">
                  <c:v>38849</c:v>
                </c:pt>
                <c:pt idx="8">
                  <c:v>38848</c:v>
                </c:pt>
                <c:pt idx="9">
                  <c:v>38847</c:v>
                </c:pt>
                <c:pt idx="10">
                  <c:v>38844</c:v>
                </c:pt>
                <c:pt idx="11">
                  <c:v>38843</c:v>
                </c:pt>
                <c:pt idx="12">
                  <c:v>38842</c:v>
                </c:pt>
                <c:pt idx="13">
                  <c:v>38841</c:v>
                </c:pt>
                <c:pt idx="14">
                  <c:v>38840</c:v>
                </c:pt>
                <c:pt idx="15">
                  <c:v>38837</c:v>
                </c:pt>
                <c:pt idx="16">
                  <c:v>38836</c:v>
                </c:pt>
                <c:pt idx="17">
                  <c:v>38835</c:v>
                </c:pt>
                <c:pt idx="18">
                  <c:v>38834</c:v>
                </c:pt>
                <c:pt idx="19">
                  <c:v>38833</c:v>
                </c:pt>
                <c:pt idx="20">
                  <c:v>38830</c:v>
                </c:pt>
                <c:pt idx="21">
                  <c:v>38829</c:v>
                </c:pt>
                <c:pt idx="22">
                  <c:v>38828</c:v>
                </c:pt>
                <c:pt idx="23">
                  <c:v>38827</c:v>
                </c:pt>
                <c:pt idx="24">
                  <c:v>38826</c:v>
                </c:pt>
                <c:pt idx="25">
                  <c:v>38823</c:v>
                </c:pt>
                <c:pt idx="26">
                  <c:v>38822</c:v>
                </c:pt>
                <c:pt idx="27">
                  <c:v>38821</c:v>
                </c:pt>
                <c:pt idx="28">
                  <c:v>38820</c:v>
                </c:pt>
                <c:pt idx="29">
                  <c:v>38819</c:v>
                </c:pt>
                <c:pt idx="30">
                  <c:v>38816</c:v>
                </c:pt>
                <c:pt idx="31">
                  <c:v>38815</c:v>
                </c:pt>
                <c:pt idx="32">
                  <c:v>38814</c:v>
                </c:pt>
                <c:pt idx="33">
                  <c:v>38813</c:v>
                </c:pt>
                <c:pt idx="34">
                  <c:v>38812</c:v>
                </c:pt>
                <c:pt idx="35">
                  <c:v>38809</c:v>
                </c:pt>
                <c:pt idx="36">
                  <c:v>38808</c:v>
                </c:pt>
                <c:pt idx="37">
                  <c:v>38807</c:v>
                </c:pt>
                <c:pt idx="38">
                  <c:v>38806</c:v>
                </c:pt>
                <c:pt idx="39">
                  <c:v>38805</c:v>
                </c:pt>
                <c:pt idx="40">
                  <c:v>38802</c:v>
                </c:pt>
                <c:pt idx="41">
                  <c:v>38801</c:v>
                </c:pt>
                <c:pt idx="42">
                  <c:v>38800</c:v>
                </c:pt>
                <c:pt idx="43">
                  <c:v>38799</c:v>
                </c:pt>
                <c:pt idx="44">
                  <c:v>38798</c:v>
                </c:pt>
                <c:pt idx="45">
                  <c:v>38795</c:v>
                </c:pt>
                <c:pt idx="46">
                  <c:v>38794</c:v>
                </c:pt>
                <c:pt idx="47">
                  <c:v>38793</c:v>
                </c:pt>
                <c:pt idx="48">
                  <c:v>38792</c:v>
                </c:pt>
                <c:pt idx="49">
                  <c:v>38791</c:v>
                </c:pt>
                <c:pt idx="50">
                  <c:v>38788</c:v>
                </c:pt>
                <c:pt idx="51">
                  <c:v>38787</c:v>
                </c:pt>
                <c:pt idx="52">
                  <c:v>38786</c:v>
                </c:pt>
                <c:pt idx="53">
                  <c:v>38785</c:v>
                </c:pt>
                <c:pt idx="54">
                  <c:v>38784</c:v>
                </c:pt>
                <c:pt idx="55">
                  <c:v>38781</c:v>
                </c:pt>
                <c:pt idx="56">
                  <c:v>38780</c:v>
                </c:pt>
                <c:pt idx="57">
                  <c:v>38779</c:v>
                </c:pt>
                <c:pt idx="58">
                  <c:v>38778</c:v>
                </c:pt>
                <c:pt idx="59">
                  <c:v>38777</c:v>
                </c:pt>
                <c:pt idx="60">
                  <c:v>38775</c:v>
                </c:pt>
                <c:pt idx="61">
                  <c:v>38774</c:v>
                </c:pt>
                <c:pt idx="62">
                  <c:v>38773</c:v>
                </c:pt>
                <c:pt idx="63">
                  <c:v>38772</c:v>
                </c:pt>
                <c:pt idx="64">
                  <c:v>38771</c:v>
                </c:pt>
                <c:pt idx="65">
                  <c:v>38768</c:v>
                </c:pt>
                <c:pt idx="66">
                  <c:v>38767</c:v>
                </c:pt>
                <c:pt idx="67">
                  <c:v>38766</c:v>
                </c:pt>
                <c:pt idx="68">
                  <c:v>38765</c:v>
                </c:pt>
                <c:pt idx="69">
                  <c:v>38764</c:v>
                </c:pt>
                <c:pt idx="70">
                  <c:v>38761</c:v>
                </c:pt>
                <c:pt idx="71">
                  <c:v>38760</c:v>
                </c:pt>
                <c:pt idx="72">
                  <c:v>38759</c:v>
                </c:pt>
                <c:pt idx="73">
                  <c:v>38758</c:v>
                </c:pt>
                <c:pt idx="74">
                  <c:v>38757</c:v>
                </c:pt>
                <c:pt idx="75">
                  <c:v>38754</c:v>
                </c:pt>
                <c:pt idx="76">
                  <c:v>38753</c:v>
                </c:pt>
                <c:pt idx="77">
                  <c:v>38752</c:v>
                </c:pt>
                <c:pt idx="78">
                  <c:v>38751</c:v>
                </c:pt>
                <c:pt idx="79">
                  <c:v>38750</c:v>
                </c:pt>
                <c:pt idx="80">
                  <c:v>38747</c:v>
                </c:pt>
                <c:pt idx="81">
                  <c:v>38746</c:v>
                </c:pt>
                <c:pt idx="82">
                  <c:v>38745</c:v>
                </c:pt>
                <c:pt idx="83">
                  <c:v>38744</c:v>
                </c:pt>
                <c:pt idx="84">
                  <c:v>38743</c:v>
                </c:pt>
                <c:pt idx="85">
                  <c:v>38740</c:v>
                </c:pt>
                <c:pt idx="86">
                  <c:v>38739</c:v>
                </c:pt>
                <c:pt idx="87">
                  <c:v>38738</c:v>
                </c:pt>
                <c:pt idx="88">
                  <c:v>38737</c:v>
                </c:pt>
                <c:pt idx="89">
                  <c:v>38736</c:v>
                </c:pt>
              </c:numCache>
            </c:numRef>
          </c:cat>
          <c:val>
            <c:numRef>
              <c:f>[0]!Close</c:f>
              <c:numCache>
                <c:formatCode>0.00</c:formatCode>
                <c:ptCount val="90"/>
                <c:pt idx="0">
                  <c:v>36.9</c:v>
                </c:pt>
                <c:pt idx="1">
                  <c:v>37.1</c:v>
                </c:pt>
                <c:pt idx="2">
                  <c:v>36.799999999999997</c:v>
                </c:pt>
                <c:pt idx="3">
                  <c:v>39</c:v>
                </c:pt>
                <c:pt idx="4">
                  <c:v>38</c:v>
                </c:pt>
                <c:pt idx="5">
                  <c:v>38.5</c:v>
                </c:pt>
                <c:pt idx="6">
                  <c:v>37.799999999999997</c:v>
                </c:pt>
                <c:pt idx="7">
                  <c:v>38</c:v>
                </c:pt>
                <c:pt idx="8">
                  <c:v>37</c:v>
                </c:pt>
                <c:pt idx="9">
                  <c:v>37.299999999999997</c:v>
                </c:pt>
                <c:pt idx="10">
                  <c:v>37.5</c:v>
                </c:pt>
                <c:pt idx="11">
                  <c:v>36.5</c:v>
                </c:pt>
                <c:pt idx="12">
                  <c:v>36.6</c:v>
                </c:pt>
                <c:pt idx="13">
                  <c:v>38</c:v>
                </c:pt>
                <c:pt idx="14">
                  <c:v>36.700000000000003</c:v>
                </c:pt>
                <c:pt idx="15">
                  <c:v>37</c:v>
                </c:pt>
                <c:pt idx="16">
                  <c:v>37</c:v>
                </c:pt>
                <c:pt idx="17">
                  <c:v>38.299999999999997</c:v>
                </c:pt>
                <c:pt idx="18">
                  <c:v>38.9</c:v>
                </c:pt>
                <c:pt idx="19">
                  <c:v>38</c:v>
                </c:pt>
                <c:pt idx="20">
                  <c:v>37.200000000000003</c:v>
                </c:pt>
                <c:pt idx="21">
                  <c:v>37.5</c:v>
                </c:pt>
                <c:pt idx="22">
                  <c:v>36.299999999999997</c:v>
                </c:pt>
                <c:pt idx="23">
                  <c:v>36.700000000000003</c:v>
                </c:pt>
                <c:pt idx="24">
                  <c:v>37.200000000000003</c:v>
                </c:pt>
                <c:pt idx="25">
                  <c:v>36.299999999999997</c:v>
                </c:pt>
                <c:pt idx="26">
                  <c:v>36.9</c:v>
                </c:pt>
                <c:pt idx="27">
                  <c:v>36.200000000000003</c:v>
                </c:pt>
                <c:pt idx="28">
                  <c:v>36.299999999999997</c:v>
                </c:pt>
                <c:pt idx="29">
                  <c:v>35.4</c:v>
                </c:pt>
                <c:pt idx="30">
                  <c:v>35.700000000000003</c:v>
                </c:pt>
                <c:pt idx="31">
                  <c:v>36.6</c:v>
                </c:pt>
                <c:pt idx="32">
                  <c:v>36.299999999999997</c:v>
                </c:pt>
                <c:pt idx="33">
                  <c:v>35.799999999999997</c:v>
                </c:pt>
                <c:pt idx="34">
                  <c:v>36.799999999999997</c:v>
                </c:pt>
                <c:pt idx="35">
                  <c:v>35.6</c:v>
                </c:pt>
                <c:pt idx="36">
                  <c:v>35.9</c:v>
                </c:pt>
                <c:pt idx="37">
                  <c:v>35.200000000000003</c:v>
                </c:pt>
                <c:pt idx="38">
                  <c:v>35.9</c:v>
                </c:pt>
                <c:pt idx="39">
                  <c:v>35.200000000000003</c:v>
                </c:pt>
                <c:pt idx="40">
                  <c:v>35.700000000000003</c:v>
                </c:pt>
                <c:pt idx="41">
                  <c:v>35.1</c:v>
                </c:pt>
                <c:pt idx="42">
                  <c:v>35.799999999999997</c:v>
                </c:pt>
                <c:pt idx="43">
                  <c:v>36.1</c:v>
                </c:pt>
                <c:pt idx="44">
                  <c:v>35.9</c:v>
                </c:pt>
                <c:pt idx="45">
                  <c:v>35.5</c:v>
                </c:pt>
                <c:pt idx="46">
                  <c:v>36.200000000000003</c:v>
                </c:pt>
                <c:pt idx="47">
                  <c:v>35</c:v>
                </c:pt>
                <c:pt idx="48">
                  <c:v>35.4</c:v>
                </c:pt>
                <c:pt idx="49">
                  <c:v>36.700000000000003</c:v>
                </c:pt>
                <c:pt idx="50">
                  <c:v>36.1</c:v>
                </c:pt>
                <c:pt idx="51">
                  <c:v>36.299999999999997</c:v>
                </c:pt>
                <c:pt idx="52">
                  <c:v>36.200000000000003</c:v>
                </c:pt>
                <c:pt idx="53">
                  <c:v>36.6</c:v>
                </c:pt>
                <c:pt idx="54">
                  <c:v>36.5</c:v>
                </c:pt>
                <c:pt idx="55">
                  <c:v>35.5</c:v>
                </c:pt>
                <c:pt idx="56">
                  <c:v>36.1</c:v>
                </c:pt>
                <c:pt idx="57">
                  <c:v>36</c:v>
                </c:pt>
                <c:pt idx="58">
                  <c:v>35.6</c:v>
                </c:pt>
                <c:pt idx="59">
                  <c:v>37</c:v>
                </c:pt>
                <c:pt idx="60">
                  <c:v>35.700000000000003</c:v>
                </c:pt>
                <c:pt idx="61">
                  <c:v>35.5</c:v>
                </c:pt>
                <c:pt idx="62">
                  <c:v>36</c:v>
                </c:pt>
                <c:pt idx="63">
                  <c:v>36.200000000000003</c:v>
                </c:pt>
                <c:pt idx="64">
                  <c:v>35.9</c:v>
                </c:pt>
                <c:pt idx="65">
                  <c:v>36.299999999999997</c:v>
                </c:pt>
                <c:pt idx="66">
                  <c:v>35.9</c:v>
                </c:pt>
                <c:pt idx="67">
                  <c:v>35.4</c:v>
                </c:pt>
                <c:pt idx="68">
                  <c:v>34.5</c:v>
                </c:pt>
                <c:pt idx="69">
                  <c:v>34.5</c:v>
                </c:pt>
                <c:pt idx="70">
                  <c:v>35.299999999999997</c:v>
                </c:pt>
                <c:pt idx="71">
                  <c:v>34.6</c:v>
                </c:pt>
                <c:pt idx="72">
                  <c:v>35.200000000000003</c:v>
                </c:pt>
                <c:pt idx="73">
                  <c:v>34.299999999999997</c:v>
                </c:pt>
                <c:pt idx="74">
                  <c:v>33.4</c:v>
                </c:pt>
                <c:pt idx="75">
                  <c:v>33.799999999999997</c:v>
                </c:pt>
                <c:pt idx="76">
                  <c:v>33.799999999999997</c:v>
                </c:pt>
                <c:pt idx="77">
                  <c:v>34.4</c:v>
                </c:pt>
                <c:pt idx="78">
                  <c:v>36.799999999999997</c:v>
                </c:pt>
                <c:pt idx="79">
                  <c:v>35.9</c:v>
                </c:pt>
                <c:pt idx="80">
                  <c:v>36.299999999999997</c:v>
                </c:pt>
                <c:pt idx="81">
                  <c:v>37.5</c:v>
                </c:pt>
                <c:pt idx="82">
                  <c:v>37.9</c:v>
                </c:pt>
                <c:pt idx="83">
                  <c:v>37.6</c:v>
                </c:pt>
                <c:pt idx="84">
                  <c:v>37.9</c:v>
                </c:pt>
                <c:pt idx="85">
                  <c:v>38.1</c:v>
                </c:pt>
                <c:pt idx="86">
                  <c:v>36.799999999999997</c:v>
                </c:pt>
                <c:pt idx="87">
                  <c:v>36.6</c:v>
                </c:pt>
                <c:pt idx="88">
                  <c:v>36.1</c:v>
                </c:pt>
                <c:pt idx="89">
                  <c:v>36.700000000000003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656-4A1F-9BD6-5E18E2880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3175">
              <a:solidFill>
                <a:srgbClr val="000000"/>
              </a:solidFill>
              <a:prstDash val="solid"/>
            </a:ln>
          </c:spPr>
        </c:hiLowLines>
        <c:upDownBars>
          <c:gapWidth val="10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000000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axId val="518937864"/>
        <c:axId val="518938256"/>
      </c:stockChart>
      <c:dateAx>
        <c:axId val="509513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46639511201629325"/>
              <c:y val="0.87629160052754695"/>
            </c:manualLayout>
          </c:layout>
          <c:overlay val="0"/>
          <c:spPr>
            <a:noFill/>
            <a:ln w="25400">
              <a:noFill/>
            </a:ln>
          </c:spPr>
        </c:title>
        <c:numFmt formatCode="m/d/yyyy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8937472"/>
        <c:crosses val="autoZero"/>
        <c:auto val="1"/>
        <c:lblOffset val="100"/>
        <c:baseTimeUnit val="days"/>
        <c:majorUnit val="1"/>
        <c:majorTimeUnit val="months"/>
        <c:minorUnit val="1"/>
        <c:minorTimeUnit val="months"/>
      </c:dateAx>
      <c:valAx>
        <c:axId val="518937472"/>
        <c:scaling>
          <c:orientation val="minMax"/>
          <c:max val="2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Volume (mil)</a:t>
                </a:r>
              </a:p>
            </c:rich>
          </c:tx>
          <c:layout>
            <c:manualLayout>
              <c:xMode val="edge"/>
              <c:yMode val="edge"/>
              <c:x val="3.2586558044806514E-2"/>
              <c:y val="0.30584295077235957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9513960"/>
        <c:crosses val="autoZero"/>
        <c:crossBetween val="between"/>
        <c:majorUnit val="0.25"/>
      </c:valAx>
      <c:dateAx>
        <c:axId val="518937864"/>
        <c:scaling>
          <c:orientation val="minMax"/>
        </c:scaling>
        <c:delete val="1"/>
        <c:axPos val="b"/>
        <c:numFmt formatCode="m/d/yyyy;@" sourceLinked="1"/>
        <c:majorTickMark val="out"/>
        <c:minorTickMark val="none"/>
        <c:tickLblPos val="none"/>
        <c:crossAx val="518938256"/>
        <c:crosses val="autoZero"/>
        <c:auto val="1"/>
        <c:lblOffset val="100"/>
        <c:baseTimeUnit val="days"/>
      </c:dateAx>
      <c:valAx>
        <c:axId val="518938256"/>
        <c:scaling>
          <c:orientation val="minMax"/>
          <c:max val="40"/>
          <c:min val="32"/>
        </c:scaling>
        <c:delete val="0"/>
        <c:axPos val="r"/>
        <c:title>
          <c:tx>
            <c:rich>
              <a:bodyPr rot="5400000" vert="horz"/>
              <a:lstStyle/>
              <a:p>
                <a:pPr algn="ctr"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Price per Share</a:t>
                </a:r>
              </a:p>
            </c:rich>
          </c:tx>
          <c:layout>
            <c:manualLayout>
              <c:xMode val="edge"/>
              <c:yMode val="edge"/>
              <c:x val="0.9266802443991855"/>
              <c:y val="0.28178788722846615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8937864"/>
        <c:crosses val="max"/>
        <c:crossBetween val="between"/>
        <c:majorUnit val="1"/>
      </c:valAx>
      <c:spPr>
        <a:solidFill>
          <a:srgbClr val="CCFFCC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11" r="0.75000000000000011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76200</xdr:rowOff>
    </xdr:from>
    <xdr:to>
      <xdr:col>7</xdr:col>
      <xdr:colOff>552450</xdr:colOff>
      <xdr:row>19</xdr:row>
      <xdr:rowOff>0</xdr:rowOff>
    </xdr:to>
    <xdr:graphicFrame macro="">
      <xdr:nvGraphicFramePr>
        <xdr:cNvPr id="1025" name="Chart 1">
          <a:extLst>
            <a:ext uri="{FF2B5EF4-FFF2-40B4-BE49-F238E27FC236}">
              <a16:creationId xmlns:a16="http://schemas.microsoft.com/office/drawing/2014/main" id="{00000000-0008-0000-0100-000001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38100</xdr:colOff>
      <xdr:row>1</xdr:row>
      <xdr:rowOff>25400</xdr:rowOff>
    </xdr:from>
    <xdr:to>
      <xdr:col>10</xdr:col>
      <xdr:colOff>0</xdr:colOff>
      <xdr:row>3</xdr:row>
      <xdr:rowOff>12700</xdr:rowOff>
    </xdr:to>
    <xdr:sp macro="[0]!Report30" textlink="">
      <xdr:nvSpPr>
        <xdr:cNvPr id="2" name="Rectangle 1">
          <a:extLst>
            <a:ext uri="{FF2B5EF4-FFF2-40B4-BE49-F238E27FC236}">
              <a16:creationId xmlns:a16="http://schemas.microsoft.com/office/drawing/2014/main" id="{49C751C8-7147-8540-8056-A3E37B142BDC}"/>
            </a:ext>
          </a:extLst>
        </xdr:cNvPr>
        <xdr:cNvSpPr/>
      </xdr:nvSpPr>
      <xdr:spPr>
        <a:xfrm>
          <a:off x="5676900" y="228600"/>
          <a:ext cx="1384300" cy="279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30 Day Report</a:t>
          </a:r>
        </a:p>
      </xdr:txBody>
    </xdr:sp>
    <xdr:clientData/>
  </xdr:twoCellAnchor>
  <xdr:twoCellAnchor>
    <xdr:from>
      <xdr:col>8</xdr:col>
      <xdr:colOff>12700</xdr:colOff>
      <xdr:row>4</xdr:row>
      <xdr:rowOff>25400</xdr:rowOff>
    </xdr:from>
    <xdr:to>
      <xdr:col>10</xdr:col>
      <xdr:colOff>25400</xdr:colOff>
      <xdr:row>5</xdr:row>
      <xdr:rowOff>139700</xdr:rowOff>
    </xdr:to>
    <xdr:sp macro="[0]!Report60" textlink="">
      <xdr:nvSpPr>
        <xdr:cNvPr id="3" name="Rectangle 2">
          <a:extLst>
            <a:ext uri="{FF2B5EF4-FFF2-40B4-BE49-F238E27FC236}">
              <a16:creationId xmlns:a16="http://schemas.microsoft.com/office/drawing/2014/main" id="{AB8ED96E-2E6D-2544-8DAE-EB2B1897ED15}"/>
            </a:ext>
          </a:extLst>
        </xdr:cNvPr>
        <xdr:cNvSpPr/>
      </xdr:nvSpPr>
      <xdr:spPr>
        <a:xfrm>
          <a:off x="5651500" y="673100"/>
          <a:ext cx="1435100" cy="2794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60 Day Report</a:t>
          </a:r>
        </a:p>
      </xdr:txBody>
    </xdr:sp>
    <xdr:clientData/>
  </xdr:twoCellAnchor>
  <xdr:twoCellAnchor>
    <xdr:from>
      <xdr:col>7</xdr:col>
      <xdr:colOff>685800</xdr:colOff>
      <xdr:row>7</xdr:row>
      <xdr:rowOff>12700</xdr:rowOff>
    </xdr:from>
    <xdr:to>
      <xdr:col>10</xdr:col>
      <xdr:colOff>0</xdr:colOff>
      <xdr:row>8</xdr:row>
      <xdr:rowOff>152400</xdr:rowOff>
    </xdr:to>
    <xdr:sp macro="[0]!Report90" textlink="">
      <xdr:nvSpPr>
        <xdr:cNvPr id="4" name="Rectangle 3">
          <a:extLst>
            <a:ext uri="{FF2B5EF4-FFF2-40B4-BE49-F238E27FC236}">
              <a16:creationId xmlns:a16="http://schemas.microsoft.com/office/drawing/2014/main" id="{D2A16610-5560-2940-B724-9894B306FD53}"/>
            </a:ext>
          </a:extLst>
        </xdr:cNvPr>
        <xdr:cNvSpPr/>
      </xdr:nvSpPr>
      <xdr:spPr>
        <a:xfrm>
          <a:off x="5626100" y="1155700"/>
          <a:ext cx="1435100" cy="30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90 Day Report</a:t>
          </a:r>
        </a:p>
      </xdr:txBody>
    </xdr:sp>
    <xdr:clientData/>
  </xdr:twoCellAnchor>
  <xdr:twoCellAnchor>
    <xdr:from>
      <xdr:col>8</xdr:col>
      <xdr:colOff>38100</xdr:colOff>
      <xdr:row>9</xdr:row>
      <xdr:rowOff>63500</xdr:rowOff>
    </xdr:from>
    <xdr:to>
      <xdr:col>9</xdr:col>
      <xdr:colOff>711200</xdr:colOff>
      <xdr:row>10</xdr:row>
      <xdr:rowOff>139700</xdr:rowOff>
    </xdr:to>
    <xdr:sp macro="[0]!NewData" textlink="">
      <xdr:nvSpPr>
        <xdr:cNvPr id="5" name="Rectangle 4">
          <a:extLst>
            <a:ext uri="{FF2B5EF4-FFF2-40B4-BE49-F238E27FC236}">
              <a16:creationId xmlns:a16="http://schemas.microsoft.com/office/drawing/2014/main" id="{1F54EE8F-D250-0E47-80A7-95A6EDEA7A78}"/>
            </a:ext>
          </a:extLst>
        </xdr:cNvPr>
        <xdr:cNvSpPr/>
      </xdr:nvSpPr>
      <xdr:spPr>
        <a:xfrm>
          <a:off x="5676900" y="1536700"/>
          <a:ext cx="1371600" cy="2413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Insert</a:t>
          </a:r>
          <a:r>
            <a:rPr lang="en-US" sz="1100" baseline="0"/>
            <a:t> Stock Value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88900</xdr:rowOff>
    </xdr:from>
    <xdr:to>
      <xdr:col>8</xdr:col>
      <xdr:colOff>391168</xdr:colOff>
      <xdr:row>17</xdr:row>
      <xdr:rowOff>101600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BA1A12E-83ED-E146-8D96-01ADBA0760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4000"/>
          <a:ext cx="5775968" cy="26543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21</xdr:row>
      <xdr:rowOff>2752</xdr:rowOff>
    </xdr:from>
    <xdr:to>
      <xdr:col>8</xdr:col>
      <xdr:colOff>419100</xdr:colOff>
      <xdr:row>37</xdr:row>
      <xdr:rowOff>35760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AEC93222-FA42-994B-AFD9-B5E900E8C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469852"/>
          <a:ext cx="5803900" cy="267460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53</xdr:row>
      <xdr:rowOff>76200</xdr:rowOff>
    </xdr:from>
    <xdr:to>
      <xdr:col>8</xdr:col>
      <xdr:colOff>387600</xdr:colOff>
      <xdr:row>71</xdr:row>
      <xdr:rowOff>12700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DB8D0B7-01DE-A849-AB22-9F4696580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826500"/>
          <a:ext cx="5772400" cy="2908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D21"/>
  <sheetViews>
    <sheetView tabSelected="1" zoomScaleNormal="100" workbookViewId="0">
      <selection activeCell="F10" sqref="F10"/>
    </sheetView>
  </sheetViews>
  <sheetFormatPr baseColWidth="10" defaultColWidth="9.1640625" defaultRowHeight="13" x14ac:dyDescent="0.15"/>
  <cols>
    <col min="1" max="1" width="21.33203125" style="20" customWidth="1"/>
    <col min="2" max="2" width="40.5" style="20" customWidth="1"/>
    <col min="3" max="16384" width="9.1640625" style="20"/>
  </cols>
  <sheetData>
    <row r="1" spans="1:4" ht="23" x14ac:dyDescent="0.25">
      <c r="A1" s="29" t="s">
        <v>20</v>
      </c>
      <c r="B1" s="29"/>
      <c r="C1" s="30"/>
      <c r="D1" s="30"/>
    </row>
    <row r="2" spans="1:4" x14ac:dyDescent="0.15">
      <c r="A2" s="28"/>
      <c r="B2" s="28"/>
      <c r="C2" s="30"/>
      <c r="D2" s="30"/>
    </row>
    <row r="3" spans="1:4" x14ac:dyDescent="0.15">
      <c r="A3" s="28" t="s">
        <v>15</v>
      </c>
      <c r="B3" s="27">
        <v>44308</v>
      </c>
      <c r="C3" s="30"/>
      <c r="D3" s="30"/>
    </row>
    <row r="4" spans="1:4" x14ac:dyDescent="0.15">
      <c r="A4" s="28" t="s">
        <v>16</v>
      </c>
      <c r="B4" s="35" t="s">
        <v>23</v>
      </c>
      <c r="C4" s="30"/>
      <c r="D4" s="30"/>
    </row>
    <row r="5" spans="1:4" x14ac:dyDescent="0.15">
      <c r="A5" s="28"/>
      <c r="B5" s="28"/>
      <c r="C5" s="30"/>
      <c r="D5" s="30"/>
    </row>
    <row r="6" spans="1:4" ht="42" x14ac:dyDescent="0.15">
      <c r="A6" s="28" t="s">
        <v>14</v>
      </c>
      <c r="B6" s="32" t="s">
        <v>28</v>
      </c>
      <c r="C6" s="30"/>
      <c r="D6" s="30"/>
    </row>
    <row r="7" spans="1:4" x14ac:dyDescent="0.15">
      <c r="A7" s="28"/>
      <c r="B7" s="28"/>
      <c r="C7" s="30"/>
      <c r="D7" s="30"/>
    </row>
    <row r="8" spans="1:4" x14ac:dyDescent="0.15">
      <c r="A8" s="28" t="s">
        <v>29</v>
      </c>
      <c r="B8" s="28" t="s">
        <v>30</v>
      </c>
      <c r="C8" s="30"/>
      <c r="D8" s="30"/>
    </row>
    <row r="9" spans="1:4" ht="28" x14ac:dyDescent="0.15">
      <c r="A9" s="28" t="s">
        <v>31</v>
      </c>
      <c r="B9" s="32" t="s">
        <v>33</v>
      </c>
      <c r="C9" s="30"/>
      <c r="D9" s="30"/>
    </row>
    <row r="10" spans="1:4" ht="28" x14ac:dyDescent="0.15">
      <c r="A10" s="28" t="s">
        <v>32</v>
      </c>
      <c r="B10" s="32" t="s">
        <v>34</v>
      </c>
      <c r="C10" s="30"/>
      <c r="D10" s="30"/>
    </row>
    <row r="11" spans="1:4" x14ac:dyDescent="0.15">
      <c r="A11" s="28"/>
      <c r="B11" s="28"/>
      <c r="C11" s="30"/>
      <c r="D11" s="30"/>
    </row>
    <row r="12" spans="1:4" ht="28" x14ac:dyDescent="0.15">
      <c r="A12" s="28"/>
      <c r="B12" s="32" t="s">
        <v>37</v>
      </c>
      <c r="C12" s="30"/>
      <c r="D12" s="30"/>
    </row>
    <row r="13" spans="1:4" x14ac:dyDescent="0.15">
      <c r="A13" s="31"/>
      <c r="B13" s="31"/>
      <c r="C13" s="30"/>
      <c r="D13" s="30"/>
    </row>
    <row r="14" spans="1:4" x14ac:dyDescent="0.15">
      <c r="A14" s="31"/>
      <c r="B14" s="31"/>
      <c r="C14" s="30"/>
      <c r="D14" s="30"/>
    </row>
    <row r="15" spans="1:4" x14ac:dyDescent="0.15">
      <c r="A15" s="31"/>
      <c r="B15" s="31"/>
      <c r="C15" s="30"/>
      <c r="D15" s="30"/>
    </row>
    <row r="16" spans="1:4" x14ac:dyDescent="0.15">
      <c r="A16" s="31"/>
      <c r="B16" s="31"/>
      <c r="C16" s="30"/>
      <c r="D16" s="30"/>
    </row>
    <row r="17" spans="1:4" x14ac:dyDescent="0.15">
      <c r="A17" s="31"/>
      <c r="B17" s="31"/>
      <c r="C17" s="30"/>
      <c r="D17" s="30"/>
    </row>
    <row r="18" spans="1:4" x14ac:dyDescent="0.15">
      <c r="A18" s="31"/>
      <c r="B18" s="31"/>
      <c r="C18" s="30"/>
      <c r="D18" s="30"/>
    </row>
    <row r="19" spans="1:4" x14ac:dyDescent="0.15">
      <c r="A19" s="31"/>
      <c r="B19" s="31"/>
      <c r="C19" s="30"/>
      <c r="D19" s="30"/>
    </row>
    <row r="20" spans="1:4" x14ac:dyDescent="0.15">
      <c r="A20" s="31"/>
      <c r="B20" s="31"/>
      <c r="C20" s="30"/>
      <c r="D20" s="30"/>
    </row>
    <row r="21" spans="1:4" x14ac:dyDescent="0.15">
      <c r="A21" s="31"/>
      <c r="B21" s="31"/>
      <c r="C21" s="30"/>
      <c r="D21" s="30"/>
    </row>
  </sheetData>
  <mergeCells count="1">
    <mergeCell ref="A1:B1"/>
  </mergeCells>
  <phoneticPr fontId="2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K23"/>
  <sheetViews>
    <sheetView workbookViewId="0">
      <selection activeCell="D39" sqref="D39"/>
    </sheetView>
  </sheetViews>
  <sheetFormatPr baseColWidth="10" defaultColWidth="9.1640625" defaultRowHeight="13" x14ac:dyDescent="0.15"/>
  <cols>
    <col min="1" max="1" width="2.6640625" style="12" customWidth="1"/>
    <col min="2" max="2" width="10.1640625" style="12" customWidth="1"/>
    <col min="3" max="3" width="12" style="12" customWidth="1"/>
    <col min="4" max="4" width="12.5" style="12" customWidth="1"/>
    <col min="5" max="9" width="9.1640625" style="12"/>
    <col min="10" max="10" width="9.5" style="12" customWidth="1"/>
    <col min="11" max="11" width="13.5" style="12" customWidth="1"/>
    <col min="12" max="16384" width="9.1640625" style="12"/>
  </cols>
  <sheetData>
    <row r="1" spans="2:11" s="6" customFormat="1" ht="16" x14ac:dyDescent="0.2">
      <c r="B1" s="5" t="s">
        <v>13</v>
      </c>
    </row>
    <row r="2" spans="2:11" s="6" customFormat="1" ht="11.25" customHeight="1" x14ac:dyDescent="0.15"/>
    <row r="3" spans="2:11" s="6" customFormat="1" ht="12" customHeight="1" x14ac:dyDescent="0.15"/>
    <row r="4" spans="2:11" s="6" customFormat="1" ht="12" customHeight="1" x14ac:dyDescent="0.15"/>
    <row r="5" spans="2:11" s="6" customFormat="1" x14ac:dyDescent="0.15"/>
    <row r="6" spans="2:11" s="6" customFormat="1" x14ac:dyDescent="0.15"/>
    <row r="7" spans="2:11" s="6" customFormat="1" x14ac:dyDescent="0.15"/>
    <row r="8" spans="2:11" s="6" customFormat="1" x14ac:dyDescent="0.15"/>
    <row r="9" spans="2:11" s="6" customFormat="1" x14ac:dyDescent="0.15"/>
    <row r="10" spans="2:11" s="6" customFormat="1" x14ac:dyDescent="0.15"/>
    <row r="11" spans="2:11" s="6" customFormat="1" x14ac:dyDescent="0.15"/>
    <row r="12" spans="2:11" s="6" customFormat="1" x14ac:dyDescent="0.15">
      <c r="I12" s="23" t="s">
        <v>24</v>
      </c>
      <c r="J12" s="24"/>
      <c r="K12" s="25"/>
    </row>
    <row r="13" spans="2:11" s="6" customFormat="1" x14ac:dyDescent="0.15">
      <c r="I13" s="17" t="s">
        <v>8</v>
      </c>
      <c r="J13" s="17"/>
      <c r="K13" s="13">
        <f>starting_date</f>
        <v>38736</v>
      </c>
    </row>
    <row r="14" spans="2:11" s="6" customFormat="1" x14ac:dyDescent="0.15">
      <c r="I14" s="17" t="s">
        <v>9</v>
      </c>
      <c r="J14" s="17"/>
      <c r="K14" s="13">
        <f>'History Log'!A2</f>
        <v>38858</v>
      </c>
    </row>
    <row r="15" spans="2:11" s="6" customFormat="1" x14ac:dyDescent="0.15">
      <c r="I15" s="17" t="s">
        <v>10</v>
      </c>
      <c r="J15" s="17"/>
      <c r="K15" s="7">
        <f>starting_value</f>
        <v>37.1</v>
      </c>
    </row>
    <row r="16" spans="2:11" s="6" customFormat="1" x14ac:dyDescent="0.15">
      <c r="I16" s="17" t="s">
        <v>11</v>
      </c>
      <c r="J16" s="17"/>
      <c r="K16" s="7">
        <f>'History Log'!F2</f>
        <v>36.9</v>
      </c>
    </row>
    <row r="17" spans="2:11" s="6" customFormat="1" x14ac:dyDescent="0.15">
      <c r="I17" s="15" t="s">
        <v>6</v>
      </c>
      <c r="J17" s="16"/>
      <c r="K17" s="7">
        <f>K16-K15</f>
        <v>-0.20000000000000284</v>
      </c>
    </row>
    <row r="18" spans="2:11" s="6" customFormat="1" x14ac:dyDescent="0.15">
      <c r="I18" s="17" t="s">
        <v>12</v>
      </c>
      <c r="J18" s="17"/>
      <c r="K18" s="8">
        <f>K17/K15</f>
        <v>-5.3908355795149014E-3</v>
      </c>
    </row>
    <row r="19" spans="2:11" s="6" customFormat="1" ht="12" customHeight="1" x14ac:dyDescent="0.15">
      <c r="I19" s="21" t="s">
        <v>7</v>
      </c>
      <c r="J19" s="21"/>
      <c r="K19" s="9">
        <f>AVERAGE(Volume)</f>
        <v>0.32338888888888884</v>
      </c>
    </row>
    <row r="20" spans="2:11" s="6" customFormat="1" ht="6.75" customHeight="1" x14ac:dyDescent="0.15"/>
    <row r="21" spans="2:11" s="10" customFormat="1" x14ac:dyDescent="0.15">
      <c r="B21" s="22" t="s">
        <v>17</v>
      </c>
      <c r="C21" s="22"/>
      <c r="D21" s="22"/>
      <c r="E21" s="22"/>
      <c r="F21" s="22"/>
      <c r="G21" s="22"/>
    </row>
    <row r="22" spans="2:11" s="10" customFormat="1" x14ac:dyDescent="0.15">
      <c r="B22" s="11" t="s">
        <v>0</v>
      </c>
      <c r="C22" s="11" t="s">
        <v>1</v>
      </c>
      <c r="D22" s="11" t="s">
        <v>2</v>
      </c>
      <c r="E22" s="11" t="s">
        <v>3</v>
      </c>
      <c r="F22" s="11" t="s">
        <v>4</v>
      </c>
      <c r="G22" s="11" t="s">
        <v>5</v>
      </c>
    </row>
    <row r="23" spans="2:11" s="10" customFormat="1" x14ac:dyDescent="0.15">
      <c r="B23" s="14">
        <v>38858</v>
      </c>
      <c r="C23" s="4">
        <v>0.25</v>
      </c>
      <c r="D23" s="4">
        <v>37.1</v>
      </c>
      <c r="E23" s="4">
        <v>38.299999999999997</v>
      </c>
      <c r="F23" s="4">
        <v>35.1</v>
      </c>
      <c r="G23" s="4">
        <v>36.9</v>
      </c>
    </row>
  </sheetData>
  <sheetProtection sheet="1" objects="1" scenarios="1"/>
  <mergeCells count="3">
    <mergeCell ref="I19:J19"/>
    <mergeCell ref="B21:G21"/>
    <mergeCell ref="I12:K12"/>
  </mergeCells>
  <phoneticPr fontId="2" type="noConversion"/>
  <conditionalFormatting sqref="K17:K18">
    <cfRule type="cellIs" dxfId="0" priority="1" stopIfTrue="1" operator="lessThan">
      <formula>0</formula>
    </cfRule>
  </conditionalFormatting>
  <dataValidations count="6">
    <dataValidation type="date" operator="greaterThan" allowBlank="1" showInputMessage="1" showErrorMessage="1" errorTitle="Invalid date" error="The date must be after the previous ending date shown in cell K14" promptTitle="Date" prompt="Enter the date the stocks were traded" sqref="B23" xr:uid="{27D19951-D891-1547-963D-C7AE9C2A7AAF}">
      <formula1>K14</formula1>
    </dataValidation>
    <dataValidation type="decimal" operator="equal" allowBlank="1" showInputMessage="1" showErrorMessage="1" errorTitle="Invalid open value" error="The open value must be equal to the previous ending value shown in cell K16" promptTitle="Open" prompt="Enter the opening value of the stock" sqref="D23" xr:uid="{26A5053B-33FF-0847-9A56-6530C47E9AA2}">
      <formula1>K16</formula1>
    </dataValidation>
    <dataValidation type="decimal" allowBlank="1" showInputMessage="1" showErrorMessage="1" errorTitle="Invalid close value" error="The close value must lie between the high value (cell E23) and the low value (cell F23)" promptTitle="Close" prompt="Enter the closing value of the stock" sqref="G23" xr:uid="{0DA74CB0-413C-2842-8801-33F486D53861}">
      <formula1>F23</formula1>
      <formula2>E23</formula2>
    </dataValidation>
    <dataValidation allowBlank="1" showInputMessage="1" showErrorMessage="1" promptTitle="Volume" prompt="Enter the volume of shares traded (in millions)" sqref="C23" xr:uid="{C766F0D3-5160-1746-BCEC-A402A85C15D0}"/>
    <dataValidation allowBlank="1" showInputMessage="1" showErrorMessage="1" promptTitle="High" prompt="Enter the highest value of the stock" sqref="E23" xr:uid="{CAE156D8-986F-8542-BC6A-3EAF737CC466}"/>
    <dataValidation allowBlank="1" showInputMessage="1" showErrorMessage="1" promptTitle="Low" prompt="Enter the lowest value of the stock" sqref="F23" xr:uid="{1F743D98-BE84-0C47-B319-CEE7A50A9321}"/>
  </dataValidations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H361"/>
  <sheetViews>
    <sheetView workbookViewId="0">
      <selection activeCell="A2" sqref="A2"/>
    </sheetView>
  </sheetViews>
  <sheetFormatPr baseColWidth="10" defaultColWidth="8.83203125" defaultRowHeight="13" x14ac:dyDescent="0.15"/>
  <cols>
    <col min="1" max="1" width="10.1640625" bestFit="1" customWidth="1"/>
    <col min="2" max="2" width="11.5" bestFit="1" customWidth="1"/>
  </cols>
  <sheetData>
    <row r="1" spans="1:6" x14ac:dyDescent="0.15">
      <c r="A1" s="3" t="s">
        <v>0</v>
      </c>
      <c r="B1" s="3" t="s">
        <v>18</v>
      </c>
      <c r="C1" s="3" t="s">
        <v>2</v>
      </c>
      <c r="D1" s="3" t="s">
        <v>3</v>
      </c>
      <c r="E1" s="3" t="s">
        <v>4</v>
      </c>
      <c r="F1" s="3" t="s">
        <v>5</v>
      </c>
    </row>
    <row r="2" spans="1:6" x14ac:dyDescent="0.15">
      <c r="A2" s="14">
        <v>38858</v>
      </c>
      <c r="B2" s="4">
        <v>0.25</v>
      </c>
      <c r="C2" s="4">
        <v>37.1</v>
      </c>
      <c r="D2" s="4">
        <v>38.299999999999997</v>
      </c>
      <c r="E2" s="4">
        <v>35.1</v>
      </c>
      <c r="F2" s="4">
        <v>36.9</v>
      </c>
    </row>
    <row r="3" spans="1:6" x14ac:dyDescent="0.15">
      <c r="A3" s="14">
        <v>38857</v>
      </c>
      <c r="B3" s="4">
        <v>0.51</v>
      </c>
      <c r="C3" s="4">
        <v>36.799999999999997</v>
      </c>
      <c r="D3" s="4">
        <v>37.9</v>
      </c>
      <c r="E3" s="4">
        <v>36.200000000000003</v>
      </c>
      <c r="F3" s="4">
        <v>37.1</v>
      </c>
    </row>
    <row r="4" spans="1:6" x14ac:dyDescent="0.15">
      <c r="A4" s="14">
        <v>38856</v>
      </c>
      <c r="B4" s="4">
        <v>0.72</v>
      </c>
      <c r="C4" s="4">
        <v>39</v>
      </c>
      <c r="D4" s="4">
        <v>39.5</v>
      </c>
      <c r="E4" s="4">
        <v>36</v>
      </c>
      <c r="F4" s="4">
        <v>36.799999999999997</v>
      </c>
    </row>
    <row r="5" spans="1:6" x14ac:dyDescent="0.15">
      <c r="A5" s="14">
        <v>38855</v>
      </c>
      <c r="B5" s="4">
        <v>0.55000000000000004</v>
      </c>
      <c r="C5" s="4">
        <v>38</v>
      </c>
      <c r="D5" s="4">
        <v>39.5</v>
      </c>
      <c r="E5" s="4">
        <v>36</v>
      </c>
      <c r="F5" s="4">
        <v>39</v>
      </c>
    </row>
    <row r="6" spans="1:6" x14ac:dyDescent="0.15">
      <c r="A6" s="14">
        <v>38854</v>
      </c>
      <c r="B6" s="4">
        <v>0.37</v>
      </c>
      <c r="C6" s="4">
        <v>38.5</v>
      </c>
      <c r="D6" s="4">
        <v>38.32</v>
      </c>
      <c r="E6" s="4">
        <v>37.35</v>
      </c>
      <c r="F6" s="4">
        <v>38</v>
      </c>
    </row>
    <row r="7" spans="1:6" x14ac:dyDescent="0.15">
      <c r="A7" s="14">
        <v>38851</v>
      </c>
      <c r="B7" s="4">
        <v>0.44</v>
      </c>
      <c r="C7" s="4">
        <v>37.799999999999997</v>
      </c>
      <c r="D7" s="4">
        <v>39.33</v>
      </c>
      <c r="E7" s="4">
        <v>38.4</v>
      </c>
      <c r="F7" s="4">
        <v>38.5</v>
      </c>
    </row>
    <row r="8" spans="1:6" x14ac:dyDescent="0.15">
      <c r="A8" s="14">
        <v>38850</v>
      </c>
      <c r="B8" s="4">
        <v>0.38</v>
      </c>
      <c r="C8" s="4">
        <v>38</v>
      </c>
      <c r="D8" s="4">
        <v>38.11</v>
      </c>
      <c r="E8" s="4">
        <v>36.89</v>
      </c>
      <c r="F8" s="4">
        <v>37.799999999999997</v>
      </c>
    </row>
    <row r="9" spans="1:6" x14ac:dyDescent="0.15">
      <c r="A9" s="14">
        <v>38849</v>
      </c>
      <c r="B9" s="4">
        <v>0.6</v>
      </c>
      <c r="C9" s="4">
        <v>37</v>
      </c>
      <c r="D9" s="4">
        <v>38.11</v>
      </c>
      <c r="E9" s="4">
        <v>37.11</v>
      </c>
      <c r="F9" s="4">
        <v>38</v>
      </c>
    </row>
    <row r="10" spans="1:6" x14ac:dyDescent="0.15">
      <c r="A10" s="14">
        <v>38848</v>
      </c>
      <c r="B10" s="4">
        <v>0.54</v>
      </c>
      <c r="C10" s="4">
        <v>37.299999999999997</v>
      </c>
      <c r="D10" s="4">
        <v>37.6</v>
      </c>
      <c r="E10" s="4">
        <v>36.29</v>
      </c>
      <c r="F10" s="4">
        <v>37</v>
      </c>
    </row>
    <row r="11" spans="1:6" x14ac:dyDescent="0.15">
      <c r="A11" s="14">
        <v>38847</v>
      </c>
      <c r="B11" s="4">
        <v>0.49</v>
      </c>
      <c r="C11" s="4">
        <v>37.5</v>
      </c>
      <c r="D11" s="4">
        <v>37.83</v>
      </c>
      <c r="E11" s="4">
        <v>36.79</v>
      </c>
      <c r="F11" s="4">
        <v>37.299999999999997</v>
      </c>
    </row>
    <row r="12" spans="1:6" x14ac:dyDescent="0.15">
      <c r="A12" s="14">
        <v>38844</v>
      </c>
      <c r="B12" s="4">
        <v>0.48</v>
      </c>
      <c r="C12" s="4">
        <v>36.5</v>
      </c>
      <c r="D12" s="4">
        <v>37.54</v>
      </c>
      <c r="E12" s="4">
        <v>36.65</v>
      </c>
      <c r="F12" s="4">
        <v>37.5</v>
      </c>
    </row>
    <row r="13" spans="1:6" x14ac:dyDescent="0.15">
      <c r="A13" s="14">
        <v>38843</v>
      </c>
      <c r="B13" s="4">
        <v>0.44</v>
      </c>
      <c r="C13" s="4">
        <v>36.6</v>
      </c>
      <c r="D13" s="4">
        <v>36.56</v>
      </c>
      <c r="E13" s="4">
        <v>35.76</v>
      </c>
      <c r="F13" s="4">
        <v>36.5</v>
      </c>
    </row>
    <row r="14" spans="1:6" x14ac:dyDescent="0.15">
      <c r="A14" s="14">
        <v>38842</v>
      </c>
      <c r="B14" s="4">
        <v>0.59</v>
      </c>
      <c r="C14" s="4">
        <v>38</v>
      </c>
      <c r="D14" s="4">
        <v>36.85</v>
      </c>
      <c r="E14" s="4">
        <v>35.96</v>
      </c>
      <c r="F14" s="4">
        <v>36.6</v>
      </c>
    </row>
    <row r="15" spans="1:6" x14ac:dyDescent="0.15">
      <c r="A15" s="14">
        <v>38841</v>
      </c>
      <c r="B15" s="4">
        <v>0.47</v>
      </c>
      <c r="C15" s="4">
        <v>36.700000000000003</v>
      </c>
      <c r="D15" s="4">
        <v>38.659999999999997</v>
      </c>
      <c r="E15" s="4">
        <v>37.42</v>
      </c>
      <c r="F15" s="4">
        <v>38</v>
      </c>
    </row>
    <row r="16" spans="1:6" x14ac:dyDescent="0.15">
      <c r="A16" s="14">
        <v>38840</v>
      </c>
      <c r="B16" s="4">
        <v>0.34</v>
      </c>
      <c r="C16" s="4">
        <v>37</v>
      </c>
      <c r="D16" s="4">
        <v>36.86</v>
      </c>
      <c r="E16" s="4">
        <v>36.28</v>
      </c>
      <c r="F16" s="4">
        <v>36.700000000000003</v>
      </c>
    </row>
    <row r="17" spans="1:6" x14ac:dyDescent="0.15">
      <c r="A17" s="14">
        <v>38837</v>
      </c>
      <c r="B17" s="4">
        <v>0.4</v>
      </c>
      <c r="C17" s="4">
        <v>37</v>
      </c>
      <c r="D17" s="4">
        <v>37.86</v>
      </c>
      <c r="E17" s="4">
        <v>36.85</v>
      </c>
      <c r="F17" s="4">
        <v>37</v>
      </c>
    </row>
    <row r="18" spans="1:6" x14ac:dyDescent="0.15">
      <c r="A18" s="14">
        <v>38836</v>
      </c>
      <c r="B18" s="4">
        <v>0.49</v>
      </c>
      <c r="C18" s="4">
        <v>38.299999999999997</v>
      </c>
      <c r="D18" s="4">
        <v>37.71</v>
      </c>
      <c r="E18" s="4">
        <v>36.200000000000003</v>
      </c>
      <c r="F18" s="4">
        <v>37</v>
      </c>
    </row>
    <row r="19" spans="1:6" x14ac:dyDescent="0.15">
      <c r="A19" s="14">
        <v>38835</v>
      </c>
      <c r="B19" s="4">
        <v>0.3</v>
      </c>
      <c r="C19" s="4">
        <v>38.9</v>
      </c>
      <c r="D19" s="4">
        <v>38.68</v>
      </c>
      <c r="E19" s="4">
        <v>37.9</v>
      </c>
      <c r="F19" s="4">
        <v>38.299999999999997</v>
      </c>
    </row>
    <row r="20" spans="1:6" x14ac:dyDescent="0.15">
      <c r="A20" s="14">
        <v>38834</v>
      </c>
      <c r="B20" s="4">
        <v>0.19</v>
      </c>
      <c r="C20" s="4">
        <v>38</v>
      </c>
      <c r="D20" s="4">
        <v>39.61</v>
      </c>
      <c r="E20" s="4">
        <v>37.950000000000003</v>
      </c>
      <c r="F20" s="4">
        <v>38.9</v>
      </c>
    </row>
    <row r="21" spans="1:6" x14ac:dyDescent="0.15">
      <c r="A21" s="14">
        <v>38833</v>
      </c>
      <c r="B21" s="4">
        <v>0.18</v>
      </c>
      <c r="C21" s="4">
        <v>37.200000000000003</v>
      </c>
      <c r="D21" s="4">
        <v>38.47</v>
      </c>
      <c r="E21" s="4">
        <v>37.24</v>
      </c>
      <c r="F21" s="4">
        <v>38</v>
      </c>
    </row>
    <row r="22" spans="1:6" x14ac:dyDescent="0.15">
      <c r="A22" s="14">
        <v>38830</v>
      </c>
      <c r="B22" s="4">
        <v>0.27</v>
      </c>
      <c r="C22" s="4">
        <v>37.5</v>
      </c>
      <c r="D22" s="4">
        <v>37.96</v>
      </c>
      <c r="E22" s="4">
        <v>37.119999999999997</v>
      </c>
      <c r="F22" s="4">
        <v>37.200000000000003</v>
      </c>
    </row>
    <row r="23" spans="1:6" x14ac:dyDescent="0.15">
      <c r="A23" s="14">
        <v>38829</v>
      </c>
      <c r="B23" s="4">
        <v>0.42</v>
      </c>
      <c r="C23" s="4">
        <v>36.299999999999997</v>
      </c>
      <c r="D23" s="4">
        <v>38.119999999999997</v>
      </c>
      <c r="E23" s="4">
        <v>36.83</v>
      </c>
      <c r="F23" s="4">
        <v>37.5</v>
      </c>
    </row>
    <row r="24" spans="1:6" x14ac:dyDescent="0.15">
      <c r="A24" s="14">
        <v>38828</v>
      </c>
      <c r="B24" s="4">
        <v>0.46</v>
      </c>
      <c r="C24" s="4">
        <v>36.700000000000003</v>
      </c>
      <c r="D24" s="4">
        <v>36.590000000000003</v>
      </c>
      <c r="E24" s="4">
        <v>35.96</v>
      </c>
      <c r="F24" s="4">
        <v>36.299999999999997</v>
      </c>
    </row>
    <row r="25" spans="1:6" x14ac:dyDescent="0.15">
      <c r="A25" s="14">
        <v>38827</v>
      </c>
      <c r="B25" s="4">
        <v>0.57999999999999996</v>
      </c>
      <c r="C25" s="4">
        <v>37.200000000000003</v>
      </c>
      <c r="D25" s="4">
        <v>37.46</v>
      </c>
      <c r="E25" s="4">
        <v>36.659999999999997</v>
      </c>
      <c r="F25" s="4">
        <v>36.700000000000003</v>
      </c>
    </row>
    <row r="26" spans="1:6" x14ac:dyDescent="0.15">
      <c r="A26" s="14">
        <v>38826</v>
      </c>
      <c r="B26" s="4">
        <v>0.34</v>
      </c>
      <c r="C26" s="4">
        <v>36.299999999999997</v>
      </c>
      <c r="D26" s="4">
        <v>37.520000000000003</v>
      </c>
      <c r="E26" s="4">
        <v>36.92</v>
      </c>
      <c r="F26" s="4">
        <v>37.200000000000003</v>
      </c>
    </row>
    <row r="27" spans="1:6" x14ac:dyDescent="0.15">
      <c r="A27" s="14">
        <v>38823</v>
      </c>
      <c r="B27" s="4">
        <v>0.25</v>
      </c>
      <c r="C27" s="4">
        <v>36.9</v>
      </c>
      <c r="D27" s="4">
        <v>36.74</v>
      </c>
      <c r="E27" s="4">
        <v>36.049999999999997</v>
      </c>
      <c r="F27" s="4">
        <v>36.299999999999997</v>
      </c>
    </row>
    <row r="28" spans="1:6" x14ac:dyDescent="0.15">
      <c r="A28" s="14">
        <v>38822</v>
      </c>
      <c r="B28" s="4">
        <v>0.42</v>
      </c>
      <c r="C28" s="4">
        <v>36.200000000000003</v>
      </c>
      <c r="D28" s="4">
        <v>37.54</v>
      </c>
      <c r="E28" s="4">
        <v>36.78</v>
      </c>
      <c r="F28" s="4">
        <v>36.9</v>
      </c>
    </row>
    <row r="29" spans="1:6" x14ac:dyDescent="0.15">
      <c r="A29" s="14">
        <v>38821</v>
      </c>
      <c r="B29" s="4">
        <v>0.2</v>
      </c>
      <c r="C29" s="4">
        <v>36.299999999999997</v>
      </c>
      <c r="D29" s="4">
        <v>37.17</v>
      </c>
      <c r="E29" s="4">
        <v>35.25</v>
      </c>
      <c r="F29" s="4">
        <v>36.200000000000003</v>
      </c>
    </row>
    <row r="30" spans="1:6" x14ac:dyDescent="0.15">
      <c r="A30" s="14">
        <v>38820</v>
      </c>
      <c r="B30" s="4">
        <v>0.52</v>
      </c>
      <c r="C30" s="4">
        <v>35.4</v>
      </c>
      <c r="D30" s="4">
        <v>37.229999999999997</v>
      </c>
      <c r="E30" s="4">
        <v>35.86</v>
      </c>
      <c r="F30" s="4">
        <v>36.299999999999997</v>
      </c>
    </row>
    <row r="31" spans="1:6" x14ac:dyDescent="0.15">
      <c r="A31" s="14">
        <v>38819</v>
      </c>
      <c r="B31" s="4">
        <v>0.53</v>
      </c>
      <c r="C31" s="4">
        <v>35.700000000000003</v>
      </c>
      <c r="D31" s="4">
        <v>35.979999999999997</v>
      </c>
      <c r="E31" s="4">
        <v>35.119999999999997</v>
      </c>
      <c r="F31" s="4">
        <v>35.4</v>
      </c>
    </row>
    <row r="32" spans="1:6" x14ac:dyDescent="0.15">
      <c r="A32" s="14">
        <v>38816</v>
      </c>
      <c r="B32" s="4">
        <v>0.49</v>
      </c>
      <c r="C32" s="4">
        <v>36.6</v>
      </c>
      <c r="D32" s="4">
        <v>36.68</v>
      </c>
      <c r="E32" s="4">
        <v>35.58</v>
      </c>
      <c r="F32" s="4">
        <v>35.700000000000003</v>
      </c>
    </row>
    <row r="33" spans="1:6" x14ac:dyDescent="0.15">
      <c r="A33" s="14">
        <v>38815</v>
      </c>
      <c r="B33" s="4">
        <v>0.41</v>
      </c>
      <c r="C33" s="4">
        <v>36.299999999999997</v>
      </c>
      <c r="D33" s="4">
        <v>37.46</v>
      </c>
      <c r="E33" s="4">
        <v>36.36</v>
      </c>
      <c r="F33" s="4">
        <v>36.6</v>
      </c>
    </row>
    <row r="34" spans="1:6" x14ac:dyDescent="0.15">
      <c r="A34" s="14">
        <v>38814</v>
      </c>
      <c r="B34" s="4">
        <v>0.37</v>
      </c>
      <c r="C34" s="4">
        <v>35.799999999999997</v>
      </c>
      <c r="D34" s="4">
        <v>37.049999999999997</v>
      </c>
      <c r="E34" s="4">
        <v>35.43</v>
      </c>
      <c r="F34" s="4">
        <v>36.299999999999997</v>
      </c>
    </row>
    <row r="35" spans="1:6" x14ac:dyDescent="0.15">
      <c r="A35" s="14">
        <v>38813</v>
      </c>
      <c r="B35" s="4">
        <v>0.48</v>
      </c>
      <c r="C35" s="4">
        <v>36.799999999999997</v>
      </c>
      <c r="D35" s="4">
        <v>36.18</v>
      </c>
      <c r="E35" s="4">
        <v>35.39</v>
      </c>
      <c r="F35" s="4">
        <v>35.799999999999997</v>
      </c>
    </row>
    <row r="36" spans="1:6" x14ac:dyDescent="0.15">
      <c r="A36" s="14">
        <v>38812</v>
      </c>
      <c r="B36" s="4">
        <v>0.47</v>
      </c>
      <c r="C36" s="4">
        <v>35.6</v>
      </c>
      <c r="D36" s="4">
        <v>37.5</v>
      </c>
      <c r="E36" s="4">
        <v>36.130000000000003</v>
      </c>
      <c r="F36" s="4">
        <v>36.799999999999997</v>
      </c>
    </row>
    <row r="37" spans="1:6" x14ac:dyDescent="0.15">
      <c r="A37" s="14">
        <v>38809</v>
      </c>
      <c r="B37" s="4">
        <v>0.55000000000000004</v>
      </c>
      <c r="C37" s="4">
        <v>35.9</v>
      </c>
      <c r="D37" s="4">
        <v>35.71</v>
      </c>
      <c r="E37" s="4">
        <v>34.71</v>
      </c>
      <c r="F37" s="4">
        <v>35.6</v>
      </c>
    </row>
    <row r="38" spans="1:6" x14ac:dyDescent="0.15">
      <c r="A38" s="14">
        <v>38808</v>
      </c>
      <c r="B38" s="4">
        <v>0.49</v>
      </c>
      <c r="C38" s="4">
        <v>35.200000000000003</v>
      </c>
      <c r="D38" s="4">
        <v>36.33</v>
      </c>
      <c r="E38" s="4">
        <v>35.44</v>
      </c>
      <c r="F38" s="4">
        <v>35.9</v>
      </c>
    </row>
    <row r="39" spans="1:6" x14ac:dyDescent="0.15">
      <c r="A39" s="14">
        <v>38807</v>
      </c>
      <c r="B39" s="4">
        <v>0.47</v>
      </c>
      <c r="C39" s="4">
        <v>35.9</v>
      </c>
      <c r="D39" s="4">
        <v>35.21</v>
      </c>
      <c r="E39" s="4">
        <v>34.770000000000003</v>
      </c>
      <c r="F39" s="4">
        <v>35.200000000000003</v>
      </c>
    </row>
    <row r="40" spans="1:6" x14ac:dyDescent="0.15">
      <c r="A40" s="14">
        <v>38806</v>
      </c>
      <c r="B40" s="4">
        <v>0.39</v>
      </c>
      <c r="C40" s="4">
        <v>35.200000000000003</v>
      </c>
      <c r="D40" s="4">
        <v>36.81</v>
      </c>
      <c r="E40" s="4">
        <v>35.29</v>
      </c>
      <c r="F40" s="4">
        <v>35.9</v>
      </c>
    </row>
    <row r="41" spans="1:6" x14ac:dyDescent="0.15">
      <c r="A41" s="14">
        <v>38805</v>
      </c>
      <c r="B41" s="4">
        <v>0.5</v>
      </c>
      <c r="C41" s="4">
        <v>35.700000000000003</v>
      </c>
      <c r="D41" s="4">
        <v>35.65</v>
      </c>
      <c r="E41" s="4">
        <v>34.32</v>
      </c>
      <c r="F41" s="4">
        <v>35.200000000000003</v>
      </c>
    </row>
    <row r="42" spans="1:6" x14ac:dyDescent="0.15">
      <c r="A42" s="14">
        <v>38802</v>
      </c>
      <c r="B42" s="4">
        <v>0.32</v>
      </c>
      <c r="C42" s="4">
        <v>35.1</v>
      </c>
      <c r="D42" s="4">
        <v>35.74</v>
      </c>
      <c r="E42" s="4">
        <v>35.43</v>
      </c>
      <c r="F42" s="4">
        <v>35.700000000000003</v>
      </c>
    </row>
    <row r="43" spans="1:6" x14ac:dyDescent="0.15">
      <c r="A43" s="14">
        <v>38801</v>
      </c>
      <c r="B43" s="4">
        <v>0.52</v>
      </c>
      <c r="C43" s="4">
        <v>35.799999999999997</v>
      </c>
      <c r="D43" s="4">
        <v>35.450000000000003</v>
      </c>
      <c r="E43" s="4">
        <v>34.94</v>
      </c>
      <c r="F43" s="4">
        <v>35.1</v>
      </c>
    </row>
    <row r="44" spans="1:6" x14ac:dyDescent="0.15">
      <c r="A44" s="14">
        <v>38800</v>
      </c>
      <c r="B44" s="4">
        <v>0.41</v>
      </c>
      <c r="C44" s="4">
        <v>36.1</v>
      </c>
      <c r="D44" s="4">
        <v>36.72</v>
      </c>
      <c r="E44" s="4">
        <v>35.31</v>
      </c>
      <c r="F44" s="4">
        <v>35.799999999999997</v>
      </c>
    </row>
    <row r="45" spans="1:6" x14ac:dyDescent="0.15">
      <c r="A45" s="14">
        <v>38799</v>
      </c>
      <c r="B45" s="4">
        <v>0.24</v>
      </c>
      <c r="C45" s="4">
        <v>35.9</v>
      </c>
      <c r="D45" s="4">
        <v>36.1</v>
      </c>
      <c r="E45" s="4">
        <v>35.369999999999997</v>
      </c>
      <c r="F45" s="4">
        <v>36.1</v>
      </c>
    </row>
    <row r="46" spans="1:6" x14ac:dyDescent="0.15">
      <c r="A46" s="14">
        <v>38798</v>
      </c>
      <c r="B46" s="4">
        <v>0.31</v>
      </c>
      <c r="C46" s="4">
        <v>35.5</v>
      </c>
      <c r="D46" s="4">
        <v>36.82</v>
      </c>
      <c r="E46" s="4">
        <v>35.03</v>
      </c>
      <c r="F46" s="4">
        <v>35.9</v>
      </c>
    </row>
    <row r="47" spans="1:6" x14ac:dyDescent="0.15">
      <c r="A47" s="14">
        <v>38795</v>
      </c>
      <c r="B47" s="4">
        <v>0.32</v>
      </c>
      <c r="C47" s="4">
        <v>36.200000000000003</v>
      </c>
      <c r="D47" s="4">
        <v>35.67</v>
      </c>
      <c r="E47" s="4">
        <v>34.99</v>
      </c>
      <c r="F47" s="4">
        <v>35.5</v>
      </c>
    </row>
    <row r="48" spans="1:6" x14ac:dyDescent="0.15">
      <c r="A48" s="14">
        <v>38794</v>
      </c>
      <c r="B48" s="4">
        <v>0.4</v>
      </c>
      <c r="C48" s="4">
        <v>35</v>
      </c>
      <c r="D48" s="4">
        <v>36.200000000000003</v>
      </c>
      <c r="E48" s="4">
        <v>35.549999999999997</v>
      </c>
      <c r="F48" s="4">
        <v>36.200000000000003</v>
      </c>
    </row>
    <row r="49" spans="1:6" x14ac:dyDescent="0.15">
      <c r="A49" s="14">
        <v>38793</v>
      </c>
      <c r="B49" s="4">
        <v>0.4</v>
      </c>
      <c r="C49" s="4">
        <v>35.4</v>
      </c>
      <c r="D49" s="4">
        <v>35.43</v>
      </c>
      <c r="E49" s="4">
        <v>34.06</v>
      </c>
      <c r="F49" s="4">
        <v>35</v>
      </c>
    </row>
    <row r="50" spans="1:6" x14ac:dyDescent="0.15">
      <c r="A50" s="14">
        <v>38792</v>
      </c>
      <c r="B50" s="4">
        <v>0.25</v>
      </c>
      <c r="C50" s="4">
        <v>36.700000000000003</v>
      </c>
      <c r="D50" s="4">
        <v>35.520000000000003</v>
      </c>
      <c r="E50" s="4">
        <v>35.29</v>
      </c>
      <c r="F50" s="4">
        <v>35.4</v>
      </c>
    </row>
    <row r="51" spans="1:6" x14ac:dyDescent="0.15">
      <c r="A51" s="14">
        <v>38791</v>
      </c>
      <c r="B51" s="4">
        <v>0.26</v>
      </c>
      <c r="C51" s="4">
        <v>36.1</v>
      </c>
      <c r="D51" s="4">
        <v>36.79</v>
      </c>
      <c r="E51" s="4">
        <v>36.4</v>
      </c>
      <c r="F51" s="4">
        <v>36.700000000000003</v>
      </c>
    </row>
    <row r="52" spans="1:6" x14ac:dyDescent="0.15">
      <c r="A52" s="14">
        <v>38788</v>
      </c>
      <c r="B52" s="4">
        <v>0.4</v>
      </c>
      <c r="C52" s="4">
        <v>36.299999999999997</v>
      </c>
      <c r="D52" s="4">
        <v>36.4</v>
      </c>
      <c r="E52" s="4">
        <v>35.43</v>
      </c>
      <c r="F52" s="4">
        <v>36.1</v>
      </c>
    </row>
    <row r="53" spans="1:6" x14ac:dyDescent="0.15">
      <c r="A53" s="14">
        <v>38787</v>
      </c>
      <c r="B53" s="4">
        <v>0.46</v>
      </c>
      <c r="C53" s="4">
        <v>36.200000000000003</v>
      </c>
      <c r="D53" s="4">
        <v>36.6</v>
      </c>
      <c r="E53" s="4">
        <v>36.159999999999997</v>
      </c>
      <c r="F53" s="4">
        <v>36.299999999999997</v>
      </c>
    </row>
    <row r="54" spans="1:6" x14ac:dyDescent="0.15">
      <c r="A54" s="14">
        <v>38786</v>
      </c>
      <c r="B54" s="4">
        <v>0.36</v>
      </c>
      <c r="C54" s="4">
        <v>36.6</v>
      </c>
      <c r="D54" s="4">
        <v>36.36</v>
      </c>
      <c r="E54" s="4">
        <v>35.89</v>
      </c>
      <c r="F54" s="4">
        <v>36.200000000000003</v>
      </c>
    </row>
    <row r="55" spans="1:6" x14ac:dyDescent="0.15">
      <c r="A55" s="14">
        <v>38785</v>
      </c>
      <c r="B55" s="4">
        <v>0.31</v>
      </c>
      <c r="C55" s="4">
        <v>36.5</v>
      </c>
      <c r="D55" s="4">
        <v>36.770000000000003</v>
      </c>
      <c r="E55" s="4">
        <v>35.659999999999997</v>
      </c>
      <c r="F55" s="4">
        <v>36.6</v>
      </c>
    </row>
    <row r="56" spans="1:6" x14ac:dyDescent="0.15">
      <c r="A56" s="14">
        <v>38784</v>
      </c>
      <c r="B56" s="4">
        <v>0.19</v>
      </c>
      <c r="C56" s="4">
        <v>35.5</v>
      </c>
      <c r="D56" s="4">
        <v>36.64</v>
      </c>
      <c r="E56" s="4">
        <v>36</v>
      </c>
      <c r="F56" s="4">
        <v>36.5</v>
      </c>
    </row>
    <row r="57" spans="1:6" x14ac:dyDescent="0.15">
      <c r="A57" s="14">
        <v>38781</v>
      </c>
      <c r="B57" s="4">
        <v>0.41</v>
      </c>
      <c r="C57" s="4">
        <v>36.1</v>
      </c>
      <c r="D57" s="4">
        <v>36.49</v>
      </c>
      <c r="E57" s="4">
        <v>34.71</v>
      </c>
      <c r="F57" s="4">
        <v>35.5</v>
      </c>
    </row>
    <row r="58" spans="1:6" x14ac:dyDescent="0.15">
      <c r="A58" s="14">
        <v>38780</v>
      </c>
      <c r="B58" s="4">
        <v>0.25</v>
      </c>
      <c r="C58" s="4">
        <v>36</v>
      </c>
      <c r="D58" s="4">
        <v>36.32</v>
      </c>
      <c r="E58" s="4">
        <v>35.78</v>
      </c>
      <c r="F58" s="4">
        <v>36.1</v>
      </c>
    </row>
    <row r="59" spans="1:6" x14ac:dyDescent="0.15">
      <c r="A59" s="14">
        <v>38779</v>
      </c>
      <c r="B59" s="4">
        <v>0.44</v>
      </c>
      <c r="C59" s="4">
        <v>35.6</v>
      </c>
      <c r="D59" s="4">
        <v>36.81</v>
      </c>
      <c r="E59" s="4">
        <v>35.67</v>
      </c>
      <c r="F59" s="4">
        <v>36</v>
      </c>
    </row>
    <row r="60" spans="1:6" x14ac:dyDescent="0.15">
      <c r="A60" s="14">
        <v>38778</v>
      </c>
      <c r="B60" s="4">
        <v>0.33</v>
      </c>
      <c r="C60" s="4">
        <v>37</v>
      </c>
      <c r="D60" s="4">
        <v>36.35</v>
      </c>
      <c r="E60" s="4">
        <v>35.1</v>
      </c>
      <c r="F60" s="4">
        <v>35.6</v>
      </c>
    </row>
    <row r="61" spans="1:6" x14ac:dyDescent="0.15">
      <c r="A61" s="14">
        <v>38777</v>
      </c>
      <c r="B61" s="4">
        <v>0.28999999999999998</v>
      </c>
      <c r="C61" s="4">
        <v>35.700000000000003</v>
      </c>
      <c r="D61" s="4">
        <v>37.090000000000003</v>
      </c>
      <c r="E61" s="4">
        <v>36.17</v>
      </c>
      <c r="F61" s="4">
        <v>37</v>
      </c>
    </row>
    <row r="62" spans="1:6" x14ac:dyDescent="0.15">
      <c r="A62" s="14">
        <v>38775</v>
      </c>
      <c r="B62" s="4">
        <v>0.23</v>
      </c>
      <c r="C62" s="4">
        <v>35.5</v>
      </c>
      <c r="D62" s="4">
        <v>36.130000000000003</v>
      </c>
      <c r="E62" s="4">
        <v>34.979999999999997</v>
      </c>
      <c r="F62" s="4">
        <v>35.700000000000003</v>
      </c>
    </row>
    <row r="63" spans="1:6" x14ac:dyDescent="0.15">
      <c r="A63" s="14">
        <v>38774</v>
      </c>
      <c r="B63" s="4">
        <v>0.44</v>
      </c>
      <c r="C63" s="4">
        <v>36</v>
      </c>
      <c r="D63" s="4">
        <v>36.479999999999997</v>
      </c>
      <c r="E63" s="4">
        <v>35.229999999999997</v>
      </c>
      <c r="F63" s="4">
        <v>35.5</v>
      </c>
    </row>
    <row r="64" spans="1:6" x14ac:dyDescent="0.15">
      <c r="A64" s="14">
        <v>38773</v>
      </c>
      <c r="B64" s="4">
        <v>0.4</v>
      </c>
      <c r="C64" s="4">
        <v>36.200000000000003</v>
      </c>
      <c r="D64" s="4">
        <v>36.6</v>
      </c>
      <c r="E64" s="4">
        <v>35.659999999999997</v>
      </c>
      <c r="F64" s="4">
        <v>36</v>
      </c>
    </row>
    <row r="65" spans="1:8" x14ac:dyDescent="0.15">
      <c r="A65" s="14">
        <v>38772</v>
      </c>
      <c r="B65" s="4">
        <v>0.47</v>
      </c>
      <c r="C65" s="4">
        <v>35.9</v>
      </c>
      <c r="D65" s="4">
        <v>36.869999999999997</v>
      </c>
      <c r="E65" s="4">
        <v>36.18</v>
      </c>
      <c r="F65" s="4">
        <v>36.200000000000003</v>
      </c>
    </row>
    <row r="66" spans="1:8" x14ac:dyDescent="0.15">
      <c r="A66" s="14">
        <v>38771</v>
      </c>
      <c r="B66" s="4">
        <v>0.2</v>
      </c>
      <c r="C66" s="4">
        <v>36.299999999999997</v>
      </c>
      <c r="D66" s="4">
        <v>36.31</v>
      </c>
      <c r="E66" s="4">
        <v>34.99</v>
      </c>
      <c r="F66" s="4">
        <v>35.9</v>
      </c>
    </row>
    <row r="67" spans="1:8" x14ac:dyDescent="0.15">
      <c r="A67" s="14">
        <v>38768</v>
      </c>
      <c r="B67" s="4">
        <v>0.46</v>
      </c>
      <c r="C67" s="4">
        <v>35.9</v>
      </c>
      <c r="D67" s="4">
        <v>37.19</v>
      </c>
      <c r="E67" s="4">
        <v>35.4</v>
      </c>
      <c r="F67" s="4">
        <v>36.299999999999997</v>
      </c>
    </row>
    <row r="68" spans="1:8" x14ac:dyDescent="0.15">
      <c r="A68" s="14">
        <v>38767</v>
      </c>
      <c r="B68" s="4">
        <v>0.35</v>
      </c>
      <c r="C68" s="4">
        <v>35.4</v>
      </c>
      <c r="D68" s="4">
        <v>36.590000000000003</v>
      </c>
      <c r="E68" s="4">
        <v>35.049999999999997</v>
      </c>
      <c r="F68" s="4">
        <v>35.9</v>
      </c>
    </row>
    <row r="69" spans="1:8" x14ac:dyDescent="0.15">
      <c r="A69" s="14">
        <v>38766</v>
      </c>
      <c r="B69" s="4">
        <v>0.21</v>
      </c>
      <c r="C69" s="4">
        <v>34.5</v>
      </c>
      <c r="D69" s="4">
        <v>35.979999999999997</v>
      </c>
      <c r="E69" s="4">
        <v>35.19</v>
      </c>
      <c r="F69" s="4">
        <v>35.4</v>
      </c>
    </row>
    <row r="70" spans="1:8" x14ac:dyDescent="0.15">
      <c r="A70" s="14">
        <v>38765</v>
      </c>
      <c r="B70" s="4">
        <v>0.08</v>
      </c>
      <c r="C70" s="4">
        <v>34.5</v>
      </c>
      <c r="D70" s="4">
        <v>34.83</v>
      </c>
      <c r="E70" s="4">
        <v>33.840000000000003</v>
      </c>
      <c r="F70" s="4">
        <v>34.5</v>
      </c>
    </row>
    <row r="71" spans="1:8" x14ac:dyDescent="0.15">
      <c r="A71" s="14">
        <v>38764</v>
      </c>
      <c r="B71" s="4">
        <v>0.11</v>
      </c>
      <c r="C71" s="4">
        <v>35.299999999999997</v>
      </c>
      <c r="D71" s="4">
        <v>35.270000000000003</v>
      </c>
      <c r="E71" s="4">
        <v>34.159999999999997</v>
      </c>
      <c r="F71" s="4">
        <v>34.5</v>
      </c>
    </row>
    <row r="72" spans="1:8" x14ac:dyDescent="0.15">
      <c r="A72" s="14">
        <v>38761</v>
      </c>
      <c r="B72" s="4">
        <v>8.5000000000000006E-2</v>
      </c>
      <c r="C72" s="4">
        <v>34.6</v>
      </c>
      <c r="D72" s="4">
        <v>36.049999999999997</v>
      </c>
      <c r="E72" s="4">
        <v>35.18</v>
      </c>
      <c r="F72" s="4">
        <v>35.299999999999997</v>
      </c>
    </row>
    <row r="73" spans="1:8" x14ac:dyDescent="0.15">
      <c r="A73" s="14">
        <v>38760</v>
      </c>
      <c r="B73" s="4">
        <v>0.2</v>
      </c>
      <c r="C73" s="4">
        <v>35.200000000000003</v>
      </c>
      <c r="D73" s="4">
        <v>35.06</v>
      </c>
      <c r="E73" s="4">
        <v>33.700000000000003</v>
      </c>
      <c r="F73" s="4">
        <v>34.6</v>
      </c>
    </row>
    <row r="74" spans="1:8" x14ac:dyDescent="0.15">
      <c r="A74" s="14">
        <v>38759</v>
      </c>
      <c r="B74" s="4">
        <v>7.0000000000000007E-2</v>
      </c>
      <c r="C74" s="4">
        <v>34.299999999999997</v>
      </c>
      <c r="D74" s="4">
        <v>35.92</v>
      </c>
      <c r="E74" s="4">
        <v>34.47</v>
      </c>
      <c r="F74" s="4">
        <v>35.200000000000003</v>
      </c>
    </row>
    <row r="75" spans="1:8" x14ac:dyDescent="0.15">
      <c r="A75" s="14">
        <v>38758</v>
      </c>
      <c r="B75" s="4">
        <v>0.155</v>
      </c>
      <c r="C75" s="4">
        <v>33.4</v>
      </c>
      <c r="D75" s="4">
        <v>34.74</v>
      </c>
      <c r="E75" s="4">
        <v>33.78</v>
      </c>
      <c r="F75" s="4">
        <v>34.299999999999997</v>
      </c>
      <c r="H75" s="2"/>
    </row>
    <row r="76" spans="1:8" x14ac:dyDescent="0.15">
      <c r="A76" s="14">
        <v>38757</v>
      </c>
      <c r="B76" s="4">
        <v>0.18</v>
      </c>
      <c r="C76" s="4">
        <v>33.799999999999997</v>
      </c>
      <c r="D76" s="4">
        <v>33.659999999999997</v>
      </c>
      <c r="E76" s="4">
        <v>32.65</v>
      </c>
      <c r="F76" s="4">
        <v>33.4</v>
      </c>
    </row>
    <row r="77" spans="1:8" x14ac:dyDescent="0.15">
      <c r="A77" s="14">
        <v>38754</v>
      </c>
      <c r="B77" s="4">
        <v>0.13500000000000001</v>
      </c>
      <c r="C77" s="4">
        <v>33.799999999999997</v>
      </c>
      <c r="D77" s="4">
        <v>33.909999999999997</v>
      </c>
      <c r="E77" s="4">
        <v>33.24</v>
      </c>
      <c r="F77" s="4">
        <v>33.799999999999997</v>
      </c>
    </row>
    <row r="78" spans="1:8" x14ac:dyDescent="0.15">
      <c r="A78" s="14">
        <v>38753</v>
      </c>
      <c r="B78" s="4">
        <v>0.20499999999999999</v>
      </c>
      <c r="C78" s="4">
        <v>34.4</v>
      </c>
      <c r="D78" s="4">
        <v>34.72</v>
      </c>
      <c r="E78" s="4">
        <v>33.67</v>
      </c>
      <c r="F78" s="4">
        <v>33.799999999999997</v>
      </c>
    </row>
    <row r="79" spans="1:8" x14ac:dyDescent="0.15">
      <c r="A79" s="14">
        <v>38752</v>
      </c>
      <c r="B79" s="4">
        <v>0.1</v>
      </c>
      <c r="C79" s="4">
        <v>36.799999999999997</v>
      </c>
      <c r="D79" s="4">
        <v>34.76</v>
      </c>
      <c r="E79" s="4">
        <v>33.58</v>
      </c>
      <c r="F79" s="4">
        <v>34.4</v>
      </c>
    </row>
    <row r="80" spans="1:8" x14ac:dyDescent="0.15">
      <c r="A80" s="14">
        <v>38751</v>
      </c>
      <c r="B80" s="4">
        <v>0.115</v>
      </c>
      <c r="C80" s="4">
        <v>35.9</v>
      </c>
      <c r="D80" s="4">
        <v>36.96</v>
      </c>
      <c r="E80" s="4">
        <v>35.94</v>
      </c>
      <c r="F80" s="4">
        <v>36.799999999999997</v>
      </c>
    </row>
    <row r="81" spans="1:6" x14ac:dyDescent="0.15">
      <c r="A81" s="14">
        <v>38750</v>
      </c>
      <c r="B81" s="4">
        <v>3.5000000000000003E-2</v>
      </c>
      <c r="C81" s="4">
        <v>36.299999999999997</v>
      </c>
      <c r="D81" s="4">
        <v>36.11</v>
      </c>
      <c r="E81" s="4">
        <v>35.03</v>
      </c>
      <c r="F81" s="4">
        <v>35.9</v>
      </c>
    </row>
    <row r="82" spans="1:6" x14ac:dyDescent="0.15">
      <c r="A82" s="14">
        <v>38747</v>
      </c>
      <c r="B82" s="4">
        <v>0.06</v>
      </c>
      <c r="C82" s="4">
        <v>37.5</v>
      </c>
      <c r="D82" s="4">
        <v>37.18</v>
      </c>
      <c r="E82" s="4">
        <v>35.31</v>
      </c>
      <c r="F82" s="4">
        <v>36.299999999999997</v>
      </c>
    </row>
    <row r="83" spans="1:6" x14ac:dyDescent="0.15">
      <c r="A83" s="14">
        <v>38746</v>
      </c>
      <c r="B83" s="4">
        <v>9.5000000000000001E-2</v>
      </c>
      <c r="C83" s="4">
        <v>37.9</v>
      </c>
      <c r="D83" s="4">
        <v>37.56</v>
      </c>
      <c r="E83" s="4">
        <v>37.340000000000003</v>
      </c>
      <c r="F83" s="4">
        <v>37.5</v>
      </c>
    </row>
    <row r="84" spans="1:6" x14ac:dyDescent="0.15">
      <c r="A84" s="14">
        <v>38745</v>
      </c>
      <c r="B84" s="4">
        <v>0.12</v>
      </c>
      <c r="C84" s="4">
        <v>37.6</v>
      </c>
      <c r="D84" s="4">
        <v>38.79</v>
      </c>
      <c r="E84" s="4">
        <v>36.93</v>
      </c>
      <c r="F84" s="4">
        <v>37.9</v>
      </c>
    </row>
    <row r="85" spans="1:6" x14ac:dyDescent="0.15">
      <c r="A85" s="14">
        <v>38744</v>
      </c>
      <c r="B85" s="4">
        <v>0.105</v>
      </c>
      <c r="C85" s="4">
        <v>37.9</v>
      </c>
      <c r="D85" s="4">
        <v>38.04</v>
      </c>
      <c r="E85" s="4">
        <v>37.28</v>
      </c>
      <c r="F85" s="4">
        <v>37.6</v>
      </c>
    </row>
    <row r="86" spans="1:6" x14ac:dyDescent="0.15">
      <c r="A86" s="14">
        <v>38743</v>
      </c>
      <c r="B86" s="4">
        <v>1.4999999999999999E-2</v>
      </c>
      <c r="C86" s="4">
        <v>38.1</v>
      </c>
      <c r="D86" s="4">
        <v>38.5</v>
      </c>
      <c r="E86" s="4">
        <v>37.28</v>
      </c>
      <c r="F86" s="4">
        <v>37.9</v>
      </c>
    </row>
    <row r="87" spans="1:6" x14ac:dyDescent="0.15">
      <c r="A87" s="14">
        <v>38740</v>
      </c>
      <c r="B87" s="4">
        <v>1.4999999999999999E-2</v>
      </c>
      <c r="C87" s="4">
        <v>36.799999999999997</v>
      </c>
      <c r="D87" s="4">
        <v>38.42</v>
      </c>
      <c r="E87" s="4">
        <v>38.07</v>
      </c>
      <c r="F87" s="4">
        <v>38.1</v>
      </c>
    </row>
    <row r="88" spans="1:6" x14ac:dyDescent="0.15">
      <c r="A88" s="14">
        <v>38739</v>
      </c>
      <c r="B88" s="4">
        <v>0.04</v>
      </c>
      <c r="C88" s="4">
        <v>36.6</v>
      </c>
      <c r="D88" s="4">
        <v>37.65</v>
      </c>
      <c r="E88" s="4">
        <v>36.78</v>
      </c>
      <c r="F88" s="4">
        <v>36.799999999999997</v>
      </c>
    </row>
    <row r="89" spans="1:6" x14ac:dyDescent="0.15">
      <c r="A89" s="14">
        <v>38738</v>
      </c>
      <c r="B89" s="4">
        <v>0.13500000000000001</v>
      </c>
      <c r="C89" s="4">
        <v>36.1</v>
      </c>
      <c r="D89" s="4">
        <v>36.659999999999997</v>
      </c>
      <c r="E89" s="4">
        <v>36.47</v>
      </c>
      <c r="F89" s="4">
        <v>36.6</v>
      </c>
    </row>
    <row r="90" spans="1:6" x14ac:dyDescent="0.15">
      <c r="A90" s="14">
        <v>38737</v>
      </c>
      <c r="B90" s="4">
        <v>7.0000000000000007E-2</v>
      </c>
      <c r="C90" s="4">
        <v>36.700000000000003</v>
      </c>
      <c r="D90" s="4">
        <v>37.1</v>
      </c>
      <c r="E90" s="4">
        <v>35.31</v>
      </c>
      <c r="F90" s="4">
        <v>36.1</v>
      </c>
    </row>
    <row r="91" spans="1:6" x14ac:dyDescent="0.15">
      <c r="A91" s="14">
        <v>38736</v>
      </c>
      <c r="B91" s="4">
        <v>0.01</v>
      </c>
      <c r="C91" s="4">
        <v>37.1</v>
      </c>
      <c r="D91" s="4">
        <v>36.93</v>
      </c>
      <c r="E91" s="4">
        <v>36.35</v>
      </c>
      <c r="F91" s="4">
        <v>36.700000000000003</v>
      </c>
    </row>
    <row r="92" spans="1:6" x14ac:dyDescent="0.15">
      <c r="A92" s="1"/>
    </row>
    <row r="93" spans="1:6" x14ac:dyDescent="0.15">
      <c r="A93" s="1"/>
    </row>
    <row r="94" spans="1:6" x14ac:dyDescent="0.15">
      <c r="A94" s="1"/>
    </row>
    <row r="95" spans="1:6" x14ac:dyDescent="0.15">
      <c r="A95" s="1"/>
    </row>
    <row r="96" spans="1:6" x14ac:dyDescent="0.15">
      <c r="A96" s="1"/>
    </row>
    <row r="97" spans="1:1" x14ac:dyDescent="0.15">
      <c r="A97" s="1"/>
    </row>
    <row r="98" spans="1:1" x14ac:dyDescent="0.15">
      <c r="A98" s="1"/>
    </row>
    <row r="99" spans="1:1" x14ac:dyDescent="0.15">
      <c r="A99" s="1"/>
    </row>
    <row r="100" spans="1:1" x14ac:dyDescent="0.15">
      <c r="A100" s="1"/>
    </row>
    <row r="101" spans="1:1" x14ac:dyDescent="0.15">
      <c r="A101" s="1"/>
    </row>
    <row r="102" spans="1:1" x14ac:dyDescent="0.15">
      <c r="A102" s="1"/>
    </row>
    <row r="103" spans="1:1" x14ac:dyDescent="0.15">
      <c r="A103" s="1"/>
    </row>
    <row r="104" spans="1:1" x14ac:dyDescent="0.15">
      <c r="A104" s="1"/>
    </row>
    <row r="105" spans="1:1" x14ac:dyDescent="0.15">
      <c r="A105" s="1"/>
    </row>
    <row r="106" spans="1:1" x14ac:dyDescent="0.15">
      <c r="A106" s="1"/>
    </row>
    <row r="107" spans="1:1" x14ac:dyDescent="0.15">
      <c r="A107" s="1"/>
    </row>
    <row r="108" spans="1:1" x14ac:dyDescent="0.15">
      <c r="A108" s="1"/>
    </row>
    <row r="109" spans="1:1" x14ac:dyDescent="0.15">
      <c r="A109" s="1"/>
    </row>
    <row r="110" spans="1:1" x14ac:dyDescent="0.15">
      <c r="A110" s="1"/>
    </row>
    <row r="111" spans="1:1" x14ac:dyDescent="0.15">
      <c r="A111" s="1"/>
    </row>
    <row r="112" spans="1:1" x14ac:dyDescent="0.15">
      <c r="A112" s="1"/>
    </row>
    <row r="113" spans="1:1" x14ac:dyDescent="0.15">
      <c r="A113" s="1"/>
    </row>
    <row r="114" spans="1:1" x14ac:dyDescent="0.15">
      <c r="A114" s="1"/>
    </row>
    <row r="115" spans="1:1" x14ac:dyDescent="0.15">
      <c r="A115" s="1"/>
    </row>
    <row r="116" spans="1:1" x14ac:dyDescent="0.15">
      <c r="A116" s="1"/>
    </row>
    <row r="117" spans="1:1" x14ac:dyDescent="0.15">
      <c r="A117" s="1"/>
    </row>
    <row r="118" spans="1:1" x14ac:dyDescent="0.15">
      <c r="A118" s="1"/>
    </row>
    <row r="119" spans="1:1" x14ac:dyDescent="0.15">
      <c r="A119" s="1"/>
    </row>
    <row r="120" spans="1:1" x14ac:dyDescent="0.15">
      <c r="A120" s="1"/>
    </row>
    <row r="121" spans="1:1" x14ac:dyDescent="0.15">
      <c r="A121" s="1"/>
    </row>
    <row r="122" spans="1:1" x14ac:dyDescent="0.15">
      <c r="A122" s="1"/>
    </row>
    <row r="123" spans="1:1" x14ac:dyDescent="0.15">
      <c r="A123" s="1"/>
    </row>
    <row r="124" spans="1:1" x14ac:dyDescent="0.15">
      <c r="A124" s="1"/>
    </row>
    <row r="125" spans="1:1" x14ac:dyDescent="0.15">
      <c r="A125" s="1"/>
    </row>
    <row r="126" spans="1:1" x14ac:dyDescent="0.15">
      <c r="A126" s="1"/>
    </row>
    <row r="127" spans="1:1" x14ac:dyDescent="0.15">
      <c r="A127" s="1"/>
    </row>
    <row r="128" spans="1:1" x14ac:dyDescent="0.15">
      <c r="A128" s="1"/>
    </row>
    <row r="129" spans="1:1" x14ac:dyDescent="0.15">
      <c r="A129" s="1"/>
    </row>
    <row r="130" spans="1:1" x14ac:dyDescent="0.15">
      <c r="A130" s="1"/>
    </row>
    <row r="131" spans="1:1" x14ac:dyDescent="0.15">
      <c r="A131" s="1"/>
    </row>
    <row r="132" spans="1:1" x14ac:dyDescent="0.15">
      <c r="A132" s="1"/>
    </row>
    <row r="133" spans="1:1" x14ac:dyDescent="0.15">
      <c r="A133" s="1"/>
    </row>
    <row r="134" spans="1:1" x14ac:dyDescent="0.15">
      <c r="A134" s="1"/>
    </row>
    <row r="135" spans="1:1" x14ac:dyDescent="0.15">
      <c r="A135" s="1"/>
    </row>
    <row r="136" spans="1:1" x14ac:dyDescent="0.15">
      <c r="A136" s="1"/>
    </row>
    <row r="137" spans="1:1" x14ac:dyDescent="0.15">
      <c r="A137" s="1"/>
    </row>
    <row r="138" spans="1:1" x14ac:dyDescent="0.15">
      <c r="A138" s="1"/>
    </row>
    <row r="139" spans="1:1" x14ac:dyDescent="0.15">
      <c r="A139" s="1"/>
    </row>
    <row r="140" spans="1:1" x14ac:dyDescent="0.15">
      <c r="A140" s="1"/>
    </row>
    <row r="141" spans="1:1" x14ac:dyDescent="0.15">
      <c r="A141" s="1"/>
    </row>
    <row r="142" spans="1:1" x14ac:dyDescent="0.15">
      <c r="A142" s="1"/>
    </row>
    <row r="143" spans="1:1" x14ac:dyDescent="0.15">
      <c r="A143" s="1"/>
    </row>
    <row r="144" spans="1:1" x14ac:dyDescent="0.15">
      <c r="A144" s="1"/>
    </row>
    <row r="145" spans="1:1" x14ac:dyDescent="0.15">
      <c r="A145" s="1"/>
    </row>
    <row r="146" spans="1:1" x14ac:dyDescent="0.15">
      <c r="A146" s="1"/>
    </row>
    <row r="147" spans="1:1" x14ac:dyDescent="0.15">
      <c r="A147" s="1"/>
    </row>
    <row r="148" spans="1:1" x14ac:dyDescent="0.15">
      <c r="A148" s="1"/>
    </row>
    <row r="149" spans="1:1" x14ac:dyDescent="0.15">
      <c r="A149" s="1"/>
    </row>
    <row r="150" spans="1:1" x14ac:dyDescent="0.15">
      <c r="A150" s="1"/>
    </row>
    <row r="151" spans="1:1" x14ac:dyDescent="0.15">
      <c r="A151" s="1"/>
    </row>
    <row r="152" spans="1:1" x14ac:dyDescent="0.15">
      <c r="A152" s="1"/>
    </row>
    <row r="153" spans="1:1" x14ac:dyDescent="0.15">
      <c r="A153" s="1"/>
    </row>
    <row r="154" spans="1:1" x14ac:dyDescent="0.15">
      <c r="A154" s="1"/>
    </row>
    <row r="155" spans="1:1" x14ac:dyDescent="0.15">
      <c r="A155" s="1"/>
    </row>
    <row r="156" spans="1:1" x14ac:dyDescent="0.15">
      <c r="A156" s="1"/>
    </row>
    <row r="157" spans="1:1" x14ac:dyDescent="0.15">
      <c r="A157" s="1"/>
    </row>
    <row r="158" spans="1:1" x14ac:dyDescent="0.15">
      <c r="A158" s="1"/>
    </row>
    <row r="159" spans="1:1" x14ac:dyDescent="0.15">
      <c r="A159" s="1"/>
    </row>
    <row r="160" spans="1:1" x14ac:dyDescent="0.15">
      <c r="A160" s="1"/>
    </row>
    <row r="161" spans="1:1" x14ac:dyDescent="0.15">
      <c r="A161" s="1"/>
    </row>
    <row r="162" spans="1:1" x14ac:dyDescent="0.15">
      <c r="A162" s="1"/>
    </row>
    <row r="163" spans="1:1" x14ac:dyDescent="0.15">
      <c r="A163" s="1"/>
    </row>
    <row r="164" spans="1:1" x14ac:dyDescent="0.15">
      <c r="A164" s="1"/>
    </row>
    <row r="165" spans="1:1" x14ac:dyDescent="0.15">
      <c r="A165" s="1"/>
    </row>
    <row r="166" spans="1:1" x14ac:dyDescent="0.15">
      <c r="A166" s="1"/>
    </row>
    <row r="167" spans="1:1" x14ac:dyDescent="0.15">
      <c r="A167" s="1"/>
    </row>
    <row r="168" spans="1:1" x14ac:dyDescent="0.15">
      <c r="A168" s="1"/>
    </row>
    <row r="169" spans="1:1" x14ac:dyDescent="0.15">
      <c r="A169" s="1"/>
    </row>
    <row r="170" spans="1:1" x14ac:dyDescent="0.15">
      <c r="A170" s="1"/>
    </row>
    <row r="171" spans="1:1" x14ac:dyDescent="0.15">
      <c r="A171" s="1"/>
    </row>
    <row r="172" spans="1:1" x14ac:dyDescent="0.15">
      <c r="A172" s="1"/>
    </row>
    <row r="173" spans="1:1" x14ac:dyDescent="0.15">
      <c r="A173" s="1"/>
    </row>
    <row r="174" spans="1:1" x14ac:dyDescent="0.15">
      <c r="A174" s="1"/>
    </row>
    <row r="175" spans="1:1" x14ac:dyDescent="0.15">
      <c r="A175" s="1"/>
    </row>
    <row r="176" spans="1:1" x14ac:dyDescent="0.15">
      <c r="A176" s="1"/>
    </row>
    <row r="177" spans="1:1" x14ac:dyDescent="0.15">
      <c r="A177" s="1"/>
    </row>
    <row r="178" spans="1:1" x14ac:dyDescent="0.15">
      <c r="A178" s="1"/>
    </row>
    <row r="179" spans="1:1" x14ac:dyDescent="0.15">
      <c r="A179" s="1"/>
    </row>
    <row r="180" spans="1:1" x14ac:dyDescent="0.15">
      <c r="A180" s="1"/>
    </row>
    <row r="181" spans="1:1" x14ac:dyDescent="0.15">
      <c r="A181" s="1"/>
    </row>
    <row r="182" spans="1:1" x14ac:dyDescent="0.15">
      <c r="A182" s="1"/>
    </row>
    <row r="183" spans="1:1" x14ac:dyDescent="0.15">
      <c r="A183" s="1"/>
    </row>
    <row r="184" spans="1:1" x14ac:dyDescent="0.15">
      <c r="A184" s="1"/>
    </row>
    <row r="185" spans="1:1" x14ac:dyDescent="0.15">
      <c r="A185" s="1"/>
    </row>
    <row r="186" spans="1:1" x14ac:dyDescent="0.15">
      <c r="A186" s="1"/>
    </row>
    <row r="187" spans="1:1" x14ac:dyDescent="0.15">
      <c r="A187" s="1"/>
    </row>
    <row r="188" spans="1:1" x14ac:dyDescent="0.15">
      <c r="A188" s="1"/>
    </row>
    <row r="189" spans="1:1" x14ac:dyDescent="0.15">
      <c r="A189" s="1"/>
    </row>
    <row r="190" spans="1:1" x14ac:dyDescent="0.15">
      <c r="A190" s="1"/>
    </row>
    <row r="191" spans="1:1" x14ac:dyDescent="0.15">
      <c r="A191" s="1"/>
    </row>
    <row r="192" spans="1:1" x14ac:dyDescent="0.15">
      <c r="A192" s="1"/>
    </row>
    <row r="193" spans="1:1" x14ac:dyDescent="0.15">
      <c r="A193" s="1"/>
    </row>
    <row r="194" spans="1:1" x14ac:dyDescent="0.15">
      <c r="A194" s="1"/>
    </row>
    <row r="195" spans="1:1" x14ac:dyDescent="0.15">
      <c r="A195" s="1"/>
    </row>
    <row r="196" spans="1:1" x14ac:dyDescent="0.15">
      <c r="A196" s="1"/>
    </row>
    <row r="197" spans="1:1" x14ac:dyDescent="0.15">
      <c r="A197" s="1"/>
    </row>
    <row r="198" spans="1:1" x14ac:dyDescent="0.15">
      <c r="A198" s="1"/>
    </row>
    <row r="199" spans="1:1" x14ac:dyDescent="0.15">
      <c r="A199" s="1"/>
    </row>
    <row r="200" spans="1:1" x14ac:dyDescent="0.15">
      <c r="A200" s="1"/>
    </row>
    <row r="201" spans="1:1" x14ac:dyDescent="0.15">
      <c r="A201" s="1"/>
    </row>
    <row r="202" spans="1:1" x14ac:dyDescent="0.15">
      <c r="A202" s="1"/>
    </row>
    <row r="203" spans="1:1" x14ac:dyDescent="0.15">
      <c r="A203" s="1"/>
    </row>
    <row r="204" spans="1:1" x14ac:dyDescent="0.15">
      <c r="A204" s="1"/>
    </row>
    <row r="205" spans="1:1" x14ac:dyDescent="0.15">
      <c r="A205" s="1"/>
    </row>
    <row r="206" spans="1:1" x14ac:dyDescent="0.15">
      <c r="A206" s="1"/>
    </row>
    <row r="207" spans="1:1" x14ac:dyDescent="0.15">
      <c r="A207" s="1"/>
    </row>
    <row r="208" spans="1:1" x14ac:dyDescent="0.15">
      <c r="A208" s="1"/>
    </row>
    <row r="209" spans="1:1" x14ac:dyDescent="0.15">
      <c r="A209" s="1"/>
    </row>
    <row r="210" spans="1:1" x14ac:dyDescent="0.15">
      <c r="A210" s="1"/>
    </row>
    <row r="211" spans="1:1" x14ac:dyDescent="0.15">
      <c r="A211" s="1"/>
    </row>
    <row r="212" spans="1:1" x14ac:dyDescent="0.15">
      <c r="A212" s="1"/>
    </row>
    <row r="213" spans="1:1" x14ac:dyDescent="0.15">
      <c r="A213" s="1"/>
    </row>
    <row r="214" spans="1:1" x14ac:dyDescent="0.15">
      <c r="A214" s="1"/>
    </row>
    <row r="215" spans="1:1" x14ac:dyDescent="0.15">
      <c r="A215" s="1"/>
    </row>
    <row r="216" spans="1:1" x14ac:dyDescent="0.15">
      <c r="A216" s="1"/>
    </row>
    <row r="217" spans="1:1" x14ac:dyDescent="0.15">
      <c r="A217" s="1"/>
    </row>
    <row r="218" spans="1:1" x14ac:dyDescent="0.15">
      <c r="A218" s="1"/>
    </row>
    <row r="219" spans="1:1" x14ac:dyDescent="0.15">
      <c r="A219" s="1"/>
    </row>
    <row r="220" spans="1:1" x14ac:dyDescent="0.15">
      <c r="A220" s="1"/>
    </row>
    <row r="221" spans="1:1" x14ac:dyDescent="0.15">
      <c r="A221" s="1"/>
    </row>
    <row r="222" spans="1:1" x14ac:dyDescent="0.15">
      <c r="A222" s="1"/>
    </row>
    <row r="223" spans="1:1" x14ac:dyDescent="0.15">
      <c r="A223" s="1"/>
    </row>
    <row r="224" spans="1:1" x14ac:dyDescent="0.15">
      <c r="A224" s="1"/>
    </row>
    <row r="225" spans="1:1" x14ac:dyDescent="0.15">
      <c r="A225" s="1"/>
    </row>
    <row r="226" spans="1:1" x14ac:dyDescent="0.15">
      <c r="A226" s="1"/>
    </row>
    <row r="227" spans="1:1" x14ac:dyDescent="0.15">
      <c r="A227" s="1"/>
    </row>
    <row r="228" spans="1:1" x14ac:dyDescent="0.15">
      <c r="A228" s="1"/>
    </row>
    <row r="229" spans="1:1" x14ac:dyDescent="0.15">
      <c r="A229" s="1"/>
    </row>
    <row r="230" spans="1:1" x14ac:dyDescent="0.15">
      <c r="A230" s="1"/>
    </row>
    <row r="231" spans="1:1" x14ac:dyDescent="0.15">
      <c r="A231" s="1"/>
    </row>
    <row r="232" spans="1:1" x14ac:dyDescent="0.15">
      <c r="A232" s="1"/>
    </row>
    <row r="233" spans="1:1" x14ac:dyDescent="0.15">
      <c r="A233" s="1"/>
    </row>
    <row r="234" spans="1:1" x14ac:dyDescent="0.15">
      <c r="A234" s="1"/>
    </row>
    <row r="235" spans="1:1" x14ac:dyDescent="0.15">
      <c r="A235" s="1"/>
    </row>
    <row r="236" spans="1:1" x14ac:dyDescent="0.15">
      <c r="A236" s="1"/>
    </row>
    <row r="237" spans="1:1" x14ac:dyDescent="0.15">
      <c r="A237" s="1"/>
    </row>
    <row r="238" spans="1:1" x14ac:dyDescent="0.15">
      <c r="A238" s="1"/>
    </row>
    <row r="239" spans="1:1" x14ac:dyDescent="0.15">
      <c r="A239" s="1"/>
    </row>
    <row r="240" spans="1:1" x14ac:dyDescent="0.15">
      <c r="A240" s="1"/>
    </row>
    <row r="241" spans="1:1" x14ac:dyDescent="0.15">
      <c r="A241" s="1"/>
    </row>
    <row r="242" spans="1:1" x14ac:dyDescent="0.15">
      <c r="A242" s="1"/>
    </row>
    <row r="243" spans="1:1" x14ac:dyDescent="0.15">
      <c r="A243" s="1"/>
    </row>
    <row r="244" spans="1:1" x14ac:dyDescent="0.15">
      <c r="A244" s="1"/>
    </row>
    <row r="245" spans="1:1" x14ac:dyDescent="0.15">
      <c r="A245" s="1"/>
    </row>
    <row r="246" spans="1:1" x14ac:dyDescent="0.15">
      <c r="A246" s="1"/>
    </row>
    <row r="247" spans="1:1" x14ac:dyDescent="0.15">
      <c r="A247" s="1"/>
    </row>
    <row r="248" spans="1:1" x14ac:dyDescent="0.15">
      <c r="A248" s="1"/>
    </row>
    <row r="249" spans="1:1" x14ac:dyDescent="0.15">
      <c r="A249" s="1"/>
    </row>
    <row r="250" spans="1:1" x14ac:dyDescent="0.15">
      <c r="A250" s="1"/>
    </row>
    <row r="251" spans="1:1" x14ac:dyDescent="0.15">
      <c r="A251" s="1"/>
    </row>
    <row r="252" spans="1:1" x14ac:dyDescent="0.15">
      <c r="A252" s="1"/>
    </row>
    <row r="253" spans="1:1" x14ac:dyDescent="0.15">
      <c r="A253" s="1"/>
    </row>
    <row r="254" spans="1:1" x14ac:dyDescent="0.15">
      <c r="A254" s="1"/>
    </row>
    <row r="255" spans="1:1" x14ac:dyDescent="0.15">
      <c r="A255" s="1"/>
    </row>
    <row r="256" spans="1:1" x14ac:dyDescent="0.15">
      <c r="A256" s="1"/>
    </row>
    <row r="257" spans="1:1" x14ac:dyDescent="0.15">
      <c r="A257" s="1"/>
    </row>
    <row r="258" spans="1:1" x14ac:dyDescent="0.15">
      <c r="A258" s="1"/>
    </row>
    <row r="259" spans="1:1" x14ac:dyDescent="0.15">
      <c r="A259" s="1"/>
    </row>
    <row r="260" spans="1:1" x14ac:dyDescent="0.15">
      <c r="A260" s="1"/>
    </row>
    <row r="261" spans="1:1" x14ac:dyDescent="0.15">
      <c r="A261" s="1"/>
    </row>
    <row r="262" spans="1:1" x14ac:dyDescent="0.15">
      <c r="A262" s="1"/>
    </row>
    <row r="263" spans="1:1" x14ac:dyDescent="0.15">
      <c r="A263" s="1"/>
    </row>
    <row r="264" spans="1:1" x14ac:dyDescent="0.15">
      <c r="A264" s="1"/>
    </row>
    <row r="265" spans="1:1" x14ac:dyDescent="0.15">
      <c r="A265" s="1"/>
    </row>
    <row r="266" spans="1:1" x14ac:dyDescent="0.15">
      <c r="A266" s="1"/>
    </row>
    <row r="267" spans="1:1" x14ac:dyDescent="0.15">
      <c r="A267" s="1"/>
    </row>
    <row r="268" spans="1:1" x14ac:dyDescent="0.15">
      <c r="A268" s="1"/>
    </row>
    <row r="269" spans="1:1" x14ac:dyDescent="0.15">
      <c r="A269" s="1"/>
    </row>
    <row r="270" spans="1:1" x14ac:dyDescent="0.15">
      <c r="A270" s="1"/>
    </row>
    <row r="271" spans="1:1" x14ac:dyDescent="0.15">
      <c r="A271" s="1"/>
    </row>
    <row r="272" spans="1:1" x14ac:dyDescent="0.15">
      <c r="A272" s="1"/>
    </row>
    <row r="273" spans="1:1" x14ac:dyDescent="0.15">
      <c r="A273" s="1"/>
    </row>
    <row r="274" spans="1:1" x14ac:dyDescent="0.15">
      <c r="A274" s="1"/>
    </row>
    <row r="275" spans="1:1" x14ac:dyDescent="0.15">
      <c r="A275" s="1"/>
    </row>
    <row r="276" spans="1:1" x14ac:dyDescent="0.15">
      <c r="A276" s="1"/>
    </row>
    <row r="277" spans="1:1" x14ac:dyDescent="0.15">
      <c r="A277" s="1"/>
    </row>
    <row r="278" spans="1:1" x14ac:dyDescent="0.15">
      <c r="A278" s="1"/>
    </row>
    <row r="279" spans="1:1" x14ac:dyDescent="0.15">
      <c r="A279" s="1"/>
    </row>
    <row r="280" spans="1:1" x14ac:dyDescent="0.15">
      <c r="A280" s="1"/>
    </row>
    <row r="281" spans="1:1" x14ac:dyDescent="0.15">
      <c r="A281" s="1"/>
    </row>
    <row r="282" spans="1:1" x14ac:dyDescent="0.15">
      <c r="A282" s="1"/>
    </row>
    <row r="283" spans="1:1" x14ac:dyDescent="0.15">
      <c r="A283" s="1"/>
    </row>
    <row r="284" spans="1:1" x14ac:dyDescent="0.15">
      <c r="A284" s="1"/>
    </row>
    <row r="285" spans="1:1" x14ac:dyDescent="0.15">
      <c r="A285" s="1"/>
    </row>
    <row r="286" spans="1:1" x14ac:dyDescent="0.15">
      <c r="A286" s="1"/>
    </row>
    <row r="287" spans="1:1" x14ac:dyDescent="0.15">
      <c r="A287" s="1"/>
    </row>
    <row r="288" spans="1:1" x14ac:dyDescent="0.15">
      <c r="A288" s="1"/>
    </row>
    <row r="289" spans="1:1" x14ac:dyDescent="0.15">
      <c r="A289" s="1"/>
    </row>
    <row r="290" spans="1:1" x14ac:dyDescent="0.15">
      <c r="A290" s="1"/>
    </row>
    <row r="291" spans="1:1" x14ac:dyDescent="0.15">
      <c r="A291" s="1"/>
    </row>
    <row r="292" spans="1:1" x14ac:dyDescent="0.15">
      <c r="A292" s="1"/>
    </row>
    <row r="293" spans="1:1" x14ac:dyDescent="0.15">
      <c r="A293" s="1"/>
    </row>
    <row r="294" spans="1:1" x14ac:dyDescent="0.15">
      <c r="A294" s="1"/>
    </row>
    <row r="295" spans="1:1" x14ac:dyDescent="0.15">
      <c r="A295" s="1"/>
    </row>
    <row r="296" spans="1:1" x14ac:dyDescent="0.15">
      <c r="A296" s="1"/>
    </row>
    <row r="297" spans="1:1" x14ac:dyDescent="0.15">
      <c r="A297" s="1"/>
    </row>
    <row r="298" spans="1:1" x14ac:dyDescent="0.15">
      <c r="A298" s="1"/>
    </row>
    <row r="299" spans="1:1" x14ac:dyDescent="0.15">
      <c r="A299" s="1"/>
    </row>
    <row r="300" spans="1:1" x14ac:dyDescent="0.15">
      <c r="A300" s="1"/>
    </row>
    <row r="301" spans="1:1" x14ac:dyDescent="0.15">
      <c r="A301" s="1"/>
    </row>
    <row r="302" spans="1:1" x14ac:dyDescent="0.15">
      <c r="A302" s="1"/>
    </row>
    <row r="303" spans="1:1" x14ac:dyDescent="0.15">
      <c r="A303" s="1"/>
    </row>
    <row r="304" spans="1:1" x14ac:dyDescent="0.15">
      <c r="A304" s="1"/>
    </row>
    <row r="305" spans="1:1" x14ac:dyDescent="0.15">
      <c r="A305" s="1"/>
    </row>
    <row r="306" spans="1:1" x14ac:dyDescent="0.15">
      <c r="A306" s="1"/>
    </row>
    <row r="307" spans="1:1" x14ac:dyDescent="0.15">
      <c r="A307" s="1"/>
    </row>
    <row r="308" spans="1:1" x14ac:dyDescent="0.15">
      <c r="A308" s="1"/>
    </row>
    <row r="309" spans="1:1" x14ac:dyDescent="0.15">
      <c r="A309" s="1"/>
    </row>
    <row r="310" spans="1:1" x14ac:dyDescent="0.15">
      <c r="A310" s="1"/>
    </row>
    <row r="311" spans="1:1" x14ac:dyDescent="0.15">
      <c r="A311" s="1"/>
    </row>
    <row r="312" spans="1:1" x14ac:dyDescent="0.15">
      <c r="A312" s="1"/>
    </row>
    <row r="313" spans="1:1" x14ac:dyDescent="0.15">
      <c r="A313" s="1"/>
    </row>
    <row r="314" spans="1:1" x14ac:dyDescent="0.15">
      <c r="A314" s="1"/>
    </row>
    <row r="315" spans="1:1" x14ac:dyDescent="0.15">
      <c r="A315" s="1"/>
    </row>
    <row r="316" spans="1:1" x14ac:dyDescent="0.15">
      <c r="A316" s="1"/>
    </row>
    <row r="317" spans="1:1" x14ac:dyDescent="0.15">
      <c r="A317" s="1"/>
    </row>
    <row r="318" spans="1:1" x14ac:dyDescent="0.15">
      <c r="A318" s="1"/>
    </row>
    <row r="319" spans="1:1" x14ac:dyDescent="0.15">
      <c r="A319" s="1"/>
    </row>
    <row r="320" spans="1:1" x14ac:dyDescent="0.15">
      <c r="A320" s="1"/>
    </row>
    <row r="321" spans="1:1" x14ac:dyDescent="0.15">
      <c r="A321" s="1"/>
    </row>
    <row r="322" spans="1:1" x14ac:dyDescent="0.15">
      <c r="A322" s="1"/>
    </row>
    <row r="323" spans="1:1" x14ac:dyDescent="0.15">
      <c r="A323" s="1"/>
    </row>
    <row r="324" spans="1:1" x14ac:dyDescent="0.15">
      <c r="A324" s="1"/>
    </row>
    <row r="325" spans="1:1" x14ac:dyDescent="0.15">
      <c r="A325" s="1"/>
    </row>
    <row r="326" spans="1:1" x14ac:dyDescent="0.15">
      <c r="A326" s="1"/>
    </row>
    <row r="327" spans="1:1" x14ac:dyDescent="0.15">
      <c r="A327" s="1"/>
    </row>
    <row r="328" spans="1:1" x14ac:dyDescent="0.15">
      <c r="A328" s="1"/>
    </row>
    <row r="329" spans="1:1" x14ac:dyDescent="0.15">
      <c r="A329" s="1"/>
    </row>
    <row r="330" spans="1:1" x14ac:dyDescent="0.15">
      <c r="A330" s="1"/>
    </row>
    <row r="331" spans="1:1" x14ac:dyDescent="0.15">
      <c r="A331" s="1"/>
    </row>
    <row r="332" spans="1:1" x14ac:dyDescent="0.15">
      <c r="A332" s="1"/>
    </row>
    <row r="333" spans="1:1" x14ac:dyDescent="0.15">
      <c r="A333" s="1"/>
    </row>
    <row r="334" spans="1:1" x14ac:dyDescent="0.15">
      <c r="A334" s="1"/>
    </row>
    <row r="335" spans="1:1" x14ac:dyDescent="0.15">
      <c r="A335" s="1"/>
    </row>
    <row r="336" spans="1:1" x14ac:dyDescent="0.15">
      <c r="A336" s="1"/>
    </row>
    <row r="337" spans="1:1" x14ac:dyDescent="0.15">
      <c r="A337" s="1"/>
    </row>
    <row r="338" spans="1:1" x14ac:dyDescent="0.15">
      <c r="A338" s="1"/>
    </row>
    <row r="339" spans="1:1" x14ac:dyDescent="0.15">
      <c r="A339" s="1"/>
    </row>
    <row r="340" spans="1:1" x14ac:dyDescent="0.15">
      <c r="A340" s="1"/>
    </row>
    <row r="341" spans="1:1" x14ac:dyDescent="0.15">
      <c r="A341" s="1"/>
    </row>
    <row r="342" spans="1:1" x14ac:dyDescent="0.15">
      <c r="A342" s="1"/>
    </row>
    <row r="343" spans="1:1" x14ac:dyDescent="0.15">
      <c r="A343" s="1"/>
    </row>
    <row r="344" spans="1:1" x14ac:dyDescent="0.15">
      <c r="A344" s="1"/>
    </row>
    <row r="345" spans="1:1" x14ac:dyDescent="0.15">
      <c r="A345" s="1"/>
    </row>
    <row r="346" spans="1:1" x14ac:dyDescent="0.15">
      <c r="A346" s="1"/>
    </row>
    <row r="347" spans="1:1" x14ac:dyDescent="0.15">
      <c r="A347" s="1"/>
    </row>
    <row r="348" spans="1:1" x14ac:dyDescent="0.15">
      <c r="A348" s="1"/>
    </row>
    <row r="349" spans="1:1" x14ac:dyDescent="0.15">
      <c r="A349" s="1"/>
    </row>
    <row r="350" spans="1:1" x14ac:dyDescent="0.15">
      <c r="A350" s="1"/>
    </row>
    <row r="351" spans="1:1" x14ac:dyDescent="0.15">
      <c r="A351" s="1"/>
    </row>
    <row r="352" spans="1:1" x14ac:dyDescent="0.15">
      <c r="A352" s="1"/>
    </row>
    <row r="353" spans="1:1" x14ac:dyDescent="0.15">
      <c r="A353" s="1"/>
    </row>
    <row r="354" spans="1:1" x14ac:dyDescent="0.15">
      <c r="A354" s="1"/>
    </row>
    <row r="355" spans="1:1" x14ac:dyDescent="0.15">
      <c r="A355" s="1"/>
    </row>
    <row r="356" spans="1:1" x14ac:dyDescent="0.15">
      <c r="A356" s="1"/>
    </row>
    <row r="357" spans="1:1" x14ac:dyDescent="0.15">
      <c r="A357" s="1"/>
    </row>
    <row r="358" spans="1:1" x14ac:dyDescent="0.15">
      <c r="A358" s="1"/>
    </row>
    <row r="359" spans="1:1" x14ac:dyDescent="0.15">
      <c r="A359" s="1"/>
    </row>
    <row r="360" spans="1:1" x14ac:dyDescent="0.15">
      <c r="A360" s="1"/>
    </row>
    <row r="361" spans="1:1" x14ac:dyDescent="0.15">
      <c r="A361" s="1"/>
    </row>
  </sheetData>
  <sheetProtection sheet="1" objects="1" scenarios="1"/>
  <phoneticPr fontId="2" type="noConversion"/>
  <dataValidations count="6">
    <dataValidation allowBlank="1" showInputMessage="1" showErrorMessage="1" promptTitle="Low" prompt="Enter the lowest value of the stock" sqref="E2:E5" xr:uid="{B32F6B9D-96BF-1849-9E2B-2F8EFAD97ECE}"/>
    <dataValidation allowBlank="1" showInputMessage="1" showErrorMessage="1" promptTitle="High" prompt="Enter the highest value of the stock" sqref="D2:D5" xr:uid="{D210676A-B114-D04B-9CE8-D398999578EA}"/>
    <dataValidation allowBlank="1" showInputMessage="1" showErrorMessage="1" promptTitle="Volume" prompt="Enter the volume of shares traded (in millions)" sqref="B2:B5" xr:uid="{E9AC5812-0E28-7349-A566-B4249865C737}"/>
    <dataValidation type="decimal" allowBlank="1" showInputMessage="1" showErrorMessage="1" errorTitle="Invalid close value" error="The close value must lie between the high value (cell E23) and the low value (cell F23)" promptTitle="Close" prompt="Enter the closing value of the stock" sqref="F2:F5" xr:uid="{D4D35387-3197-8545-850B-E8B246E63B2E}">
      <formula1>E2</formula1>
      <formula2>D2</formula2>
    </dataValidation>
    <dataValidation type="decimal" operator="equal" allowBlank="1" showInputMessage="1" showErrorMessage="1" errorTitle="Invalid open value" error="The open value must be equal to the previous ending value shown in cell K16" promptTitle="Open" prompt="Enter the opening value of the stock" sqref="C2:C5" xr:uid="{DAE2F686-03A8-0F4A-86B8-F871CA955273}">
      <formula1>J1048571</formula1>
    </dataValidation>
    <dataValidation type="date" operator="greaterThan" allowBlank="1" showInputMessage="1" showErrorMessage="1" errorTitle="Invalid date" error="The date must be after the previous ending date shown in cell K14" promptTitle="Date" prompt="Enter the date the stocks were traded" sqref="A2:A5" xr:uid="{8A945511-686C-1048-B07D-63DB713FC974}">
      <formula1>J1048569</formula1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I83"/>
  <sheetViews>
    <sheetView view="pageLayout" zoomScaleNormal="100" workbookViewId="0">
      <selection activeCell="D82" sqref="D82"/>
    </sheetView>
  </sheetViews>
  <sheetFormatPr baseColWidth="10" defaultColWidth="8.83203125" defaultRowHeight="13" x14ac:dyDescent="0.15"/>
  <sheetData>
    <row r="1" spans="1:1" x14ac:dyDescent="0.15">
      <c r="A1" t="s">
        <v>25</v>
      </c>
    </row>
    <row r="20" spans="1:1" x14ac:dyDescent="0.15">
      <c r="A20" t="s">
        <v>26</v>
      </c>
    </row>
    <row r="53" spans="1:1" x14ac:dyDescent="0.15">
      <c r="A53" t="s">
        <v>27</v>
      </c>
    </row>
    <row r="74" spans="1:9" x14ac:dyDescent="0.15">
      <c r="A74" s="33" t="s">
        <v>35</v>
      </c>
    </row>
    <row r="75" spans="1:9" x14ac:dyDescent="0.15">
      <c r="A75" s="34" t="s">
        <v>36</v>
      </c>
      <c r="B75" s="34"/>
      <c r="C75" s="34"/>
      <c r="D75" s="34"/>
      <c r="E75" s="34"/>
      <c r="F75" s="34"/>
      <c r="G75" s="34"/>
      <c r="H75" s="34"/>
      <c r="I75" s="34"/>
    </row>
    <row r="76" spans="1:9" x14ac:dyDescent="0.15">
      <c r="A76" s="34"/>
      <c r="B76" s="34"/>
      <c r="C76" s="34"/>
      <c r="D76" s="34"/>
      <c r="E76" s="34"/>
      <c r="F76" s="34"/>
      <c r="G76" s="34"/>
      <c r="H76" s="34"/>
      <c r="I76" s="34"/>
    </row>
    <row r="77" spans="1:9" x14ac:dyDescent="0.15">
      <c r="A77" s="34"/>
      <c r="B77" s="34"/>
      <c r="C77" s="34"/>
      <c r="D77" s="34"/>
      <c r="E77" s="34"/>
      <c r="F77" s="34"/>
      <c r="G77" s="34"/>
      <c r="H77" s="34"/>
      <c r="I77" s="34"/>
    </row>
    <row r="78" spans="1:9" x14ac:dyDescent="0.15">
      <c r="A78" s="18"/>
      <c r="B78" s="18"/>
      <c r="C78" s="18"/>
      <c r="D78" s="18"/>
      <c r="E78" s="18"/>
      <c r="F78" s="18"/>
    </row>
    <row r="79" spans="1:9" x14ac:dyDescent="0.15">
      <c r="A79" s="18"/>
      <c r="B79" s="18"/>
      <c r="C79" s="18"/>
      <c r="D79" s="18"/>
      <c r="E79" s="18"/>
      <c r="F79" s="18"/>
    </row>
    <row r="80" spans="1:9" x14ac:dyDescent="0.15">
      <c r="A80" s="18"/>
      <c r="B80" s="18"/>
      <c r="C80" s="18"/>
      <c r="D80" s="18"/>
      <c r="E80" s="18"/>
      <c r="F80" s="18"/>
    </row>
    <row r="81" spans="1:6" x14ac:dyDescent="0.15">
      <c r="A81" s="18"/>
      <c r="B81" s="18"/>
      <c r="C81" s="18"/>
      <c r="D81" s="18"/>
      <c r="E81" s="18"/>
      <c r="F81" s="18"/>
    </row>
    <row r="82" spans="1:6" x14ac:dyDescent="0.15">
      <c r="A82" s="18"/>
      <c r="B82" s="18"/>
      <c r="C82" s="18"/>
      <c r="D82" s="18"/>
      <c r="E82" s="18"/>
      <c r="F82" s="18"/>
    </row>
    <row r="83" spans="1:6" x14ac:dyDescent="0.15">
      <c r="A83" s="18"/>
      <c r="B83" s="18"/>
      <c r="C83" s="18"/>
      <c r="D83" s="18"/>
      <c r="E83" s="18"/>
      <c r="F83" s="18"/>
    </row>
  </sheetData>
  <mergeCells count="1">
    <mergeCell ref="A75:I77"/>
  </mergeCells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5"/>
  <sheetViews>
    <sheetView workbookViewId="0">
      <selection activeCell="J12" sqref="J12"/>
    </sheetView>
  </sheetViews>
  <sheetFormatPr baseColWidth="10" defaultColWidth="8.83203125" defaultRowHeight="13" x14ac:dyDescent="0.15"/>
  <cols>
    <col min="1" max="1" width="13.1640625" customWidth="1"/>
  </cols>
  <sheetData>
    <row r="1" spans="1:5" x14ac:dyDescent="0.15">
      <c r="A1" s="18" t="s">
        <v>21</v>
      </c>
    </row>
    <row r="2" spans="1:5" x14ac:dyDescent="0.15">
      <c r="A2" s="18" t="s">
        <v>19</v>
      </c>
      <c r="B2" s="19">
        <v>20203</v>
      </c>
    </row>
    <row r="5" spans="1:5" x14ac:dyDescent="0.15">
      <c r="A5" s="26" t="s">
        <v>22</v>
      </c>
      <c r="B5" s="26"/>
      <c r="C5" s="26"/>
      <c r="D5" s="26"/>
      <c r="E5" s="26"/>
    </row>
  </sheetData>
  <sheetProtection algorithmName="SHA-512" hashValue="enXuE/zEk8nvx1lBqOW/a8BEeamGqEv9SotNCF+XRKV4NF25+mOWL+ZG8km8F/fJyA3jIRfJASCf1BA3M8QnBA==" saltValue="mJ2/1D6SiasKlQJMlySjoA==" spinCount="100000" sheet="1" objects="1" scenarios="1"/>
  <mergeCells count="1">
    <mergeCell ref="A5:E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8</vt:i4>
      </vt:variant>
    </vt:vector>
  </HeadingPairs>
  <TitlesOfParts>
    <vt:vector size="13" baseType="lpstr">
      <vt:lpstr>Documentation</vt:lpstr>
      <vt:lpstr>Reporter</vt:lpstr>
      <vt:lpstr>History Log</vt:lpstr>
      <vt:lpstr>Case Report</vt:lpstr>
      <vt:lpstr>Spring2021A</vt:lpstr>
      <vt:lpstr>Close</vt:lpstr>
      <vt:lpstr>Date</vt:lpstr>
      <vt:lpstr>High</vt:lpstr>
      <vt:lpstr>Low</vt:lpstr>
      <vt:lpstr>Open</vt:lpstr>
      <vt:lpstr>starting_date</vt:lpstr>
      <vt:lpstr>starting_value</vt:lpstr>
      <vt:lpstr>Volume</vt:lpstr>
    </vt:vector>
  </TitlesOfParts>
  <Company>Carey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Patrick Carey</dc:creator>
  <cp:lastModifiedBy>Microsoft Office User</cp:lastModifiedBy>
  <cp:lastPrinted>2015-11-11T18:25:24Z</cp:lastPrinted>
  <dcterms:created xsi:type="dcterms:W3CDTF">2001-05-18T14:45:23Z</dcterms:created>
  <dcterms:modified xsi:type="dcterms:W3CDTF">2021-04-23T02:27:49Z</dcterms:modified>
</cp:coreProperties>
</file>