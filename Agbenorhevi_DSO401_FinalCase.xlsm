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11" codeName="{6BE1CDB9-6C1C-A5B6-3FC1-E231EC3C600E}"/>
  <workbookPr codeName="ThisWorkbook" hidePivotFieldList="1" defaultThemeVersion="124226"/>
  <mc:AlternateContent xmlns:mc="http://schemas.openxmlformats.org/markup-compatibility/2006">
    <mc:Choice Requires="x15">
      <x15ac:absPath xmlns:x15ac="http://schemas.microsoft.com/office/spreadsheetml/2010/11/ac" url="/Users/stephanieagbenorhevi/Desktop/mods/mods 2/itp/"/>
    </mc:Choice>
  </mc:AlternateContent>
  <xr:revisionPtr revIDLastSave="0" documentId="8_{590C3128-40C6-9E43-9E67-1087BCDC116B}" xr6:coauthVersionLast="46" xr6:coauthVersionMax="46" xr10:uidLastSave="{00000000-0000-0000-0000-000000000000}"/>
  <bookViews>
    <workbookView xWindow="20" yWindow="460" windowWidth="28800" windowHeight="16220" tabRatio="937" xr2:uid="{00000000-000D-0000-FFFF-FFFF00000000}"/>
  </bookViews>
  <sheets>
    <sheet name="Documentation" sheetId="40" r:id="rId1"/>
    <sheet name="Portfolio-download_Sheet" sheetId="39" r:id="rId2"/>
    <sheet name="Portfolio" sheetId="1" r:id="rId3"/>
    <sheet name="IS1-Bottom5_investment" sheetId="33" r:id="rId4"/>
    <sheet name="IS2-Stock Summary" sheetId="24" r:id="rId5"/>
    <sheet name="ISQ1-ISQ4" sheetId="8" r:id="rId6"/>
    <sheet name="ISQ5A-Commission-flatfee" sheetId="31" r:id="rId7"/>
    <sheet name="ISQ5B-Commission-1%" sheetId="9" r:id="rId8"/>
    <sheet name="ISQ6-&lt;40Positive Return" sheetId="10" r:id="rId9"/>
    <sheet name="ISQ7-&lt;40Negative Return" sheetId="11" r:id="rId10"/>
    <sheet name="ISQ8-Stock Prices" sheetId="22" r:id="rId11"/>
    <sheet name="Portfolio-TYD" sheetId="13" r:id="rId12"/>
    <sheet name="TYD2" sheetId="14" r:id="rId13"/>
    <sheet name="TYD3-New Stock Info" sheetId="16" r:id="rId14"/>
    <sheet name="TYD4-Large Cap Data" sheetId="17" r:id="rId15"/>
    <sheet name="TYD5-Small Cap Data" sheetId="18" r:id="rId16"/>
    <sheet name="TYD6-Top7" sheetId="19" r:id="rId17"/>
    <sheet name="TYD7-PieChart" sheetId="29" r:id="rId18"/>
    <sheet name="TYD8-Subtotal" sheetId="28" r:id="rId19"/>
    <sheet name="TYD9-Scatterplot" sheetId="27" r:id="rId20"/>
    <sheet name="TYD10-GSKChart" sheetId="37" r:id="rId21"/>
    <sheet name="GSK-66dayinformation" sheetId="36" r:id="rId22"/>
    <sheet name="P2Q1" sheetId="43" r:id="rId23"/>
    <sheet name="P2Q2" sheetId="44" r:id="rId24"/>
    <sheet name="P2Q3A" sheetId="45" r:id="rId25"/>
    <sheet name="P2Q3B" sheetId="46" r:id="rId26"/>
    <sheet name="P2Q4A" sheetId="50" r:id="rId27"/>
    <sheet name="P2Q4B" sheetId="55" r:id="rId28"/>
    <sheet name="P2Q5" sheetId="47" r:id="rId29"/>
    <sheet name="P2Q6A" sheetId="51" r:id="rId30"/>
    <sheet name="P2Q6B" sheetId="58" r:id="rId31"/>
    <sheet name="Identify_Wednesday4PM" sheetId="42" r:id="rId32"/>
  </sheets>
  <functionGroups builtInGroupCount="19"/>
  <definedNames>
    <definedName name="_xlnm._FilterDatabase" localSheetId="3" hidden="1">'IS1-Bottom5_investment'!$B$10:$R$41</definedName>
    <definedName name="_xlnm._FilterDatabase" localSheetId="6" hidden="1">'ISQ5A-Commission-flatfee'!$A$3:$Q$34</definedName>
    <definedName name="_xlnm._FilterDatabase" localSheetId="7" hidden="1">'ISQ5B-Commission-1%'!$A$3:$Q$34</definedName>
    <definedName name="_xlnm._FilterDatabase" localSheetId="8" hidden="1">'ISQ6-&lt;40Positive Return'!$A$5:$Q$36</definedName>
    <definedName name="_xlnm._FilterDatabase" localSheetId="9" hidden="1">'ISQ7-&lt;40Negative Return'!$A$4:$Q$35</definedName>
    <definedName name="_xlnm._FilterDatabase" localSheetId="2" hidden="1">Portfolio!$B$10:$R$41</definedName>
    <definedName name="_xlnm._FilterDatabase" localSheetId="11" hidden="1">'Portfolio-TYD'!$B$10:$R$47</definedName>
    <definedName name="_xlnm.Criteria">'TYD3-New Stock Info'!$A$1:$Q$7</definedName>
    <definedName name="Criteria_TYD2">'TYD3-New Stock Info'!$A$1:$Q$7</definedName>
    <definedName name="Criteria_TYD3">'TYD3-New Stock Info'!$A$1:$Q$7</definedName>
    <definedName name="Criteria_TYD4">'TYD4-Large Cap Data'!$A$1:$Q$3</definedName>
    <definedName name="Criteria_TYD5">'TYD5-Small Cap Data'!$A$1:$Q$3</definedName>
    <definedName name="CriteriaTYD2">'TYD2'!$A$26:$Q$28</definedName>
    <definedName name="_xlnm.Database">'Portfolio-TYD'!$B$10:$R$47</definedName>
    <definedName name="_xlnm.Extract" localSheetId="2">Portfolio!$B$85:$R$85</definedName>
    <definedName name="_xlnm.Extract" localSheetId="11">'Portfolio-TYD'!$B$57:$R$57</definedName>
    <definedName name="Extract_TYD3">'TYD3-New Stock Info'!$A$21</definedName>
    <definedName name="Filter_Criteria_P2Q2">P2Q2!$A$20:$S$24</definedName>
    <definedName name="MSN_MoneyCentral_Investor_Stock_Quotes" localSheetId="1">'Portfolio-download_Sheet'!$B$11:$Q$59</definedName>
    <definedName name="MSN_MoneyCentral_Investor_Stock_Quotes_1" localSheetId="1">'Portfolio-download_Sheet'!#REF!</definedName>
    <definedName name="P2Database">Portfolio!$B$10:$R$41</definedName>
    <definedName name="P2Q2_AdvFilt_Database">P2Q2!$A$29:$Q$58</definedName>
    <definedName name="P2Q2_Criteria">P2Q2!$A$20:$Q$24</definedName>
    <definedName name="_xlnm.Print_Area" localSheetId="3">'IS1-Bottom5_investment'!$A$10:$G$41</definedName>
    <definedName name="_xlnm.Print_Area" localSheetId="2">Portfolio!$A$10:$G$41</definedName>
    <definedName name="solver_adj" localSheetId="26" hidden="1">P2Q4A!$E$11:$E$41</definedName>
    <definedName name="solver_adj" localSheetId="27" hidden="1">P2Q4B!$E$21:$E$25</definedName>
    <definedName name="solver_cvg" localSheetId="26" hidden="1">0.0001</definedName>
    <definedName name="solver_cvg" localSheetId="27" hidden="1">0.0001</definedName>
    <definedName name="solver_drv" localSheetId="26" hidden="1">1</definedName>
    <definedName name="solver_drv" localSheetId="27" hidden="1">1</definedName>
    <definedName name="solver_eng" localSheetId="26" hidden="1">1</definedName>
    <definedName name="solver_eng" localSheetId="27" hidden="1">1</definedName>
    <definedName name="solver_itr" localSheetId="26" hidden="1">2147483647</definedName>
    <definedName name="solver_itr" localSheetId="27" hidden="1">2147483647</definedName>
    <definedName name="solver_lhs1" localSheetId="26" hidden="1">P2Q4A!$E$11:$E$41</definedName>
    <definedName name="solver_lhs1" localSheetId="27" hidden="1">P2Q4B!$E$21:$E$25</definedName>
    <definedName name="solver_lhs2" localSheetId="27" hidden="1">P2Q4B!$E$21:$E$25</definedName>
    <definedName name="solver_lhs3" localSheetId="27" hidden="1">P2Q4B!$E$21:$E$25</definedName>
    <definedName name="solver_lin" localSheetId="26" hidden="1">2</definedName>
    <definedName name="solver_lin" localSheetId="27" hidden="1">2</definedName>
    <definedName name="solver_mip" localSheetId="26" hidden="1">2147483647</definedName>
    <definedName name="solver_mip" localSheetId="27" hidden="1">2147483647</definedName>
    <definedName name="solver_mni" localSheetId="26" hidden="1">30</definedName>
    <definedName name="solver_mni" localSheetId="27" hidden="1">30</definedName>
    <definedName name="solver_mrt" localSheetId="26" hidden="1">0.075</definedName>
    <definedName name="solver_mrt" localSheetId="27" hidden="1">0.075</definedName>
    <definedName name="solver_msl" localSheetId="26" hidden="1">2</definedName>
    <definedName name="solver_msl" localSheetId="27" hidden="1">2</definedName>
    <definedName name="solver_neg" localSheetId="26" hidden="1">1</definedName>
    <definedName name="solver_neg" localSheetId="27" hidden="1">1</definedName>
    <definedName name="solver_nod" localSheetId="26" hidden="1">2147483647</definedName>
    <definedName name="solver_nod" localSheetId="27" hidden="1">2147483647</definedName>
    <definedName name="solver_num" localSheetId="26" hidden="1">1</definedName>
    <definedName name="solver_num" localSheetId="27" hidden="1">3</definedName>
    <definedName name="solver_opt" localSheetId="26" hidden="1">P2Q4A!$O$46</definedName>
    <definedName name="solver_opt" localSheetId="27" hidden="1">P2Q4B!$O$46</definedName>
    <definedName name="solver_pre" localSheetId="26" hidden="1">0.000001</definedName>
    <definedName name="solver_pre" localSheetId="27" hidden="1">0.000001</definedName>
    <definedName name="solver_rbv" localSheetId="26" hidden="1">1</definedName>
    <definedName name="solver_rbv" localSheetId="27" hidden="1">1</definedName>
    <definedName name="solver_rel1" localSheetId="26" hidden="1">3</definedName>
    <definedName name="solver_rel1" localSheetId="27" hidden="1">1</definedName>
    <definedName name="solver_rel2" localSheetId="27" hidden="1">4</definedName>
    <definedName name="solver_rel3" localSheetId="27" hidden="1">3</definedName>
    <definedName name="solver_rhs1" localSheetId="26" hidden="1">0</definedName>
    <definedName name="solver_rhs1" localSheetId="27" hidden="1">250</definedName>
    <definedName name="solver_rhs2" localSheetId="27" hidden="1">integer</definedName>
    <definedName name="solver_rhs3" localSheetId="27" hidden="1">0</definedName>
    <definedName name="solver_rlx" localSheetId="26" hidden="1">2</definedName>
    <definedName name="solver_rlx" localSheetId="27" hidden="1">2</definedName>
    <definedName name="solver_rsd" localSheetId="26" hidden="1">0</definedName>
    <definedName name="solver_rsd" localSheetId="27" hidden="1">0</definedName>
    <definedName name="solver_scl" localSheetId="26" hidden="1">1</definedName>
    <definedName name="solver_scl" localSheetId="27" hidden="1">1</definedName>
    <definedName name="solver_sho" localSheetId="26" hidden="1">2</definedName>
    <definedName name="solver_sho" localSheetId="27" hidden="1">2</definedName>
    <definedName name="solver_ssz" localSheetId="26" hidden="1">100</definedName>
    <definedName name="solver_ssz" localSheetId="27" hidden="1">100</definedName>
    <definedName name="solver_tim" localSheetId="26" hidden="1">2147483647</definedName>
    <definedName name="solver_tim" localSheetId="27" hidden="1">2147483647</definedName>
    <definedName name="solver_tol" localSheetId="26" hidden="1">0.01</definedName>
    <definedName name="solver_tol" localSheetId="27" hidden="1">0.01</definedName>
    <definedName name="solver_typ" localSheetId="26" hidden="1">3</definedName>
    <definedName name="solver_typ" localSheetId="27" hidden="1">1</definedName>
    <definedName name="solver_val" localSheetId="26" hidden="1">0.4</definedName>
    <definedName name="solver_val" localSheetId="27" hidden="1">0</definedName>
    <definedName name="solver_ver" localSheetId="26" hidden="1">2</definedName>
    <definedName name="solver_ver" localSheetId="27" hidden="1">2</definedName>
  </definedNames>
  <calcPr calcId="191029"/>
  <pivotCaches>
    <pivotCache cacheId="0" r:id="rId33"/>
    <pivotCache cacheId="1" r:id="rId34"/>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23" i="58" l="1"/>
  <c r="P23" i="58"/>
  <c r="N23" i="58"/>
  <c r="L23" i="58"/>
  <c r="M23" i="58" s="1"/>
  <c r="Q41" i="58"/>
  <c r="P41" i="58"/>
  <c r="N41" i="58"/>
  <c r="L41" i="58"/>
  <c r="M41" i="58" s="1"/>
  <c r="Q33" i="58"/>
  <c r="P33" i="58"/>
  <c r="N33" i="58"/>
  <c r="L33" i="58"/>
  <c r="M33" i="58" s="1"/>
  <c r="Q19" i="58"/>
  <c r="P19" i="58"/>
  <c r="N19" i="58"/>
  <c r="L19" i="58"/>
  <c r="M19" i="58" s="1"/>
  <c r="Q18" i="58"/>
  <c r="P18" i="58"/>
  <c r="N18" i="58"/>
  <c r="L18" i="58"/>
  <c r="M18" i="58" s="1"/>
  <c r="Q31" i="58"/>
  <c r="P31" i="58"/>
  <c r="N31" i="58"/>
  <c r="L31" i="58"/>
  <c r="M31" i="58" s="1"/>
  <c r="Q40" i="58"/>
  <c r="P40" i="58"/>
  <c r="N40" i="58"/>
  <c r="L40" i="58"/>
  <c r="M40" i="58" s="1"/>
  <c r="Q32" i="58"/>
  <c r="P32" i="58"/>
  <c r="N32" i="58"/>
  <c r="L32" i="58"/>
  <c r="M32" i="58" s="1"/>
  <c r="Q38" i="58"/>
  <c r="P38" i="58"/>
  <c r="N38" i="58"/>
  <c r="L38" i="58"/>
  <c r="M38" i="58" s="1"/>
  <c r="Q20" i="58"/>
  <c r="P20" i="58"/>
  <c r="N20" i="58"/>
  <c r="L20" i="58"/>
  <c r="M20" i="58" s="1"/>
  <c r="Q37" i="58"/>
  <c r="P37" i="58"/>
  <c r="N37" i="58"/>
  <c r="L37" i="58"/>
  <c r="M37" i="58" s="1"/>
  <c r="Q39" i="58"/>
  <c r="P39" i="58"/>
  <c r="N39" i="58"/>
  <c r="L39" i="58"/>
  <c r="M39" i="58" s="1"/>
  <c r="Q35" i="58"/>
  <c r="P35" i="58"/>
  <c r="N35" i="58"/>
  <c r="L35" i="58"/>
  <c r="M35" i="58" s="1"/>
  <c r="Q34" i="58"/>
  <c r="P34" i="58"/>
  <c r="N34" i="58"/>
  <c r="L34" i="58"/>
  <c r="M34" i="58" s="1"/>
  <c r="Q17" i="58"/>
  <c r="P17" i="58"/>
  <c r="N17" i="58"/>
  <c r="L17" i="58"/>
  <c r="M17" i="58" s="1"/>
  <c r="Q26" i="58"/>
  <c r="P26" i="58"/>
  <c r="N26" i="58"/>
  <c r="L26" i="58"/>
  <c r="M26" i="58" s="1"/>
  <c r="Q13" i="58"/>
  <c r="P13" i="58"/>
  <c r="N13" i="58"/>
  <c r="L13" i="58"/>
  <c r="M13" i="58" s="1"/>
  <c r="Q25" i="58"/>
  <c r="P25" i="58"/>
  <c r="N25" i="58"/>
  <c r="L25" i="58"/>
  <c r="M25" i="58" s="1"/>
  <c r="Q29" i="58"/>
  <c r="P29" i="58"/>
  <c r="N29" i="58"/>
  <c r="L29" i="58"/>
  <c r="M29" i="58" s="1"/>
  <c r="Q12" i="58"/>
  <c r="P12" i="58"/>
  <c r="N12" i="58"/>
  <c r="L12" i="58"/>
  <c r="M12" i="58" s="1"/>
  <c r="Q14" i="58"/>
  <c r="P14" i="58"/>
  <c r="N14" i="58"/>
  <c r="L14" i="58"/>
  <c r="M14" i="58" s="1"/>
  <c r="Q36" i="58"/>
  <c r="P36" i="58"/>
  <c r="N36" i="58"/>
  <c r="L36" i="58"/>
  <c r="M36" i="58" s="1"/>
  <c r="Q16" i="58"/>
  <c r="P16" i="58"/>
  <c r="N16" i="58"/>
  <c r="L16" i="58"/>
  <c r="M16" i="58" s="1"/>
  <c r="Q28" i="58"/>
  <c r="P28" i="58"/>
  <c r="N28" i="58"/>
  <c r="L28" i="58"/>
  <c r="M28" i="58" s="1"/>
  <c r="Q21" i="58"/>
  <c r="P21" i="58"/>
  <c r="N21" i="58"/>
  <c r="L21" i="58"/>
  <c r="M21" i="58" s="1"/>
  <c r="Q30" i="58"/>
  <c r="P30" i="58"/>
  <c r="N30" i="58"/>
  <c r="L30" i="58"/>
  <c r="M30" i="58" s="1"/>
  <c r="Q27" i="58"/>
  <c r="P27" i="58"/>
  <c r="N27" i="58"/>
  <c r="L27" i="58"/>
  <c r="M27" i="58" s="1"/>
  <c r="Q22" i="58"/>
  <c r="P22" i="58"/>
  <c r="N22" i="58"/>
  <c r="L22" i="58"/>
  <c r="M22" i="58" s="1"/>
  <c r="Q15" i="58"/>
  <c r="P15" i="58"/>
  <c r="N15" i="58"/>
  <c r="L15" i="58"/>
  <c r="M15" i="58" s="1"/>
  <c r="Q11" i="58"/>
  <c r="P11" i="58"/>
  <c r="N11" i="58"/>
  <c r="L11" i="58"/>
  <c r="M11" i="58" s="1"/>
  <c r="Q24" i="58"/>
  <c r="P24" i="58"/>
  <c r="N24" i="58"/>
  <c r="L24" i="58"/>
  <c r="M24" i="58" s="1"/>
  <c r="O23" i="58" l="1"/>
  <c r="O15" i="58"/>
  <c r="O13" i="58"/>
  <c r="O35" i="58"/>
  <c r="O40" i="58"/>
  <c r="O32" i="58"/>
  <c r="O16" i="58"/>
  <c r="R36" i="58"/>
  <c r="O30" i="58"/>
  <c r="R14" i="58"/>
  <c r="R31" i="58"/>
  <c r="O29" i="58"/>
  <c r="R13" i="58"/>
  <c r="O33" i="58"/>
  <c r="R41" i="58"/>
  <c r="R23" i="58"/>
  <c r="R12" i="58"/>
  <c r="R18" i="58"/>
  <c r="R19" i="58"/>
  <c r="O24" i="58"/>
  <c r="R11" i="58"/>
  <c r="R15" i="58"/>
  <c r="O21" i="58"/>
  <c r="O28" i="58"/>
  <c r="O17" i="58"/>
  <c r="R34" i="58"/>
  <c r="R35" i="58"/>
  <c r="O38" i="58"/>
  <c r="R27" i="58"/>
  <c r="R21" i="58"/>
  <c r="R28" i="58"/>
  <c r="O14" i="58"/>
  <c r="O12" i="58"/>
  <c r="O37" i="58"/>
  <c r="R20" i="58"/>
  <c r="R38" i="58"/>
  <c r="O18" i="58"/>
  <c r="O19" i="58"/>
  <c r="O25" i="58"/>
  <c r="O26" i="58"/>
  <c r="O22" i="58"/>
  <c r="O39" i="58"/>
  <c r="R30" i="58"/>
  <c r="R25" i="58"/>
  <c r="R16" i="58"/>
  <c r="O36" i="58"/>
  <c r="R29" i="58"/>
  <c r="R17" i="58"/>
  <c r="O34" i="58"/>
  <c r="R37" i="58"/>
  <c r="O20" i="58"/>
  <c r="R40" i="58"/>
  <c r="O31" i="58"/>
  <c r="R33" i="58"/>
  <c r="O41" i="58"/>
  <c r="R24" i="58"/>
  <c r="O11" i="58"/>
  <c r="R22" i="58"/>
  <c r="O27" i="58"/>
  <c r="R26" i="58"/>
  <c r="R39" i="58"/>
  <c r="R32" i="58"/>
  <c r="K49" i="55"/>
  <c r="J49" i="55"/>
  <c r="G49" i="55"/>
  <c r="K48" i="55"/>
  <c r="J48" i="55"/>
  <c r="G48" i="55"/>
  <c r="G47" i="55"/>
  <c r="Q16" i="55"/>
  <c r="P16" i="55"/>
  <c r="N16" i="55"/>
  <c r="L16" i="55"/>
  <c r="M16" i="55" s="1"/>
  <c r="Q34" i="55"/>
  <c r="P34" i="55"/>
  <c r="N34" i="55"/>
  <c r="M34" i="55"/>
  <c r="L34" i="55"/>
  <c r="Q29" i="55"/>
  <c r="P29" i="55"/>
  <c r="N29" i="55"/>
  <c r="L29" i="55"/>
  <c r="M29" i="55" s="1"/>
  <c r="Q41" i="55"/>
  <c r="P41" i="55"/>
  <c r="N41" i="55"/>
  <c r="L41" i="55"/>
  <c r="M41" i="55" s="1"/>
  <c r="Q40" i="55"/>
  <c r="P40" i="55"/>
  <c r="N40" i="55"/>
  <c r="M40" i="55"/>
  <c r="L40" i="55"/>
  <c r="Q28" i="55"/>
  <c r="P28" i="55"/>
  <c r="N28" i="55"/>
  <c r="L28" i="55"/>
  <c r="M28" i="55" s="1"/>
  <c r="Q37" i="55"/>
  <c r="P37" i="55"/>
  <c r="N37" i="55"/>
  <c r="L37" i="55"/>
  <c r="M37" i="55" s="1"/>
  <c r="O37" i="55" s="1"/>
  <c r="Q15" i="55"/>
  <c r="P15" i="55"/>
  <c r="N15" i="55"/>
  <c r="L15" i="55"/>
  <c r="M15" i="55" s="1"/>
  <c r="O15" i="55" s="1"/>
  <c r="Q36" i="55"/>
  <c r="P36" i="55"/>
  <c r="N36" i="55"/>
  <c r="L36" i="55"/>
  <c r="M36" i="55" s="1"/>
  <c r="Q14" i="55"/>
  <c r="P14" i="55"/>
  <c r="N14" i="55"/>
  <c r="L14" i="55"/>
  <c r="M14" i="55" s="1"/>
  <c r="Q27" i="55"/>
  <c r="P27" i="55"/>
  <c r="N27" i="55"/>
  <c r="L27" i="55"/>
  <c r="M27" i="55" s="1"/>
  <c r="Q26" i="55"/>
  <c r="P26" i="55"/>
  <c r="N26" i="55"/>
  <c r="L26" i="55"/>
  <c r="M26" i="55" s="1"/>
  <c r="O26" i="55" s="1"/>
  <c r="Q31" i="55"/>
  <c r="P31" i="55"/>
  <c r="N31" i="55"/>
  <c r="L31" i="55"/>
  <c r="M31" i="55" s="1"/>
  <c r="Q39" i="55"/>
  <c r="P39" i="55"/>
  <c r="N39" i="55"/>
  <c r="M39" i="55"/>
  <c r="L39" i="55"/>
  <c r="Q25" i="55"/>
  <c r="P25" i="55"/>
  <c r="N25" i="55"/>
  <c r="L25" i="55"/>
  <c r="M25" i="55" s="1"/>
  <c r="Q38" i="55"/>
  <c r="P38" i="55"/>
  <c r="N38" i="55"/>
  <c r="L38" i="55"/>
  <c r="M38" i="55" s="1"/>
  <c r="Q24" i="55"/>
  <c r="P24" i="55"/>
  <c r="N24" i="55"/>
  <c r="L24" i="55"/>
  <c r="M24" i="55" s="1"/>
  <c r="Q33" i="55"/>
  <c r="P33" i="55"/>
  <c r="N33" i="55"/>
  <c r="O33" i="55" s="1"/>
  <c r="M33" i="55"/>
  <c r="L33" i="55"/>
  <c r="Q32" i="55"/>
  <c r="P32" i="55"/>
  <c r="N32" i="55"/>
  <c r="L32" i="55"/>
  <c r="M32" i="55" s="1"/>
  <c r="Q13" i="55"/>
  <c r="P13" i="55"/>
  <c r="N13" i="55"/>
  <c r="L13" i="55"/>
  <c r="M13" i="55" s="1"/>
  <c r="Q20" i="55"/>
  <c r="P20" i="55"/>
  <c r="N20" i="55"/>
  <c r="L20" i="55"/>
  <c r="M20" i="55" s="1"/>
  <c r="Q12" i="55"/>
  <c r="P12" i="55"/>
  <c r="N12" i="55"/>
  <c r="L12" i="55"/>
  <c r="M12" i="55" s="1"/>
  <c r="Q30" i="55"/>
  <c r="P30" i="55"/>
  <c r="N30" i="55"/>
  <c r="L30" i="55"/>
  <c r="M30" i="55" s="1"/>
  <c r="Q23" i="55"/>
  <c r="P23" i="55"/>
  <c r="N23" i="55"/>
  <c r="L23" i="55"/>
  <c r="M23" i="55" s="1"/>
  <c r="Q19" i="55"/>
  <c r="P19" i="55"/>
  <c r="N19" i="55"/>
  <c r="L19" i="55"/>
  <c r="M19" i="55" s="1"/>
  <c r="Q35" i="55"/>
  <c r="P35" i="55"/>
  <c r="N35" i="55"/>
  <c r="L35" i="55"/>
  <c r="M35" i="55" s="1"/>
  <c r="Q18" i="55"/>
  <c r="P18" i="55"/>
  <c r="N18" i="55"/>
  <c r="L18" i="55"/>
  <c r="M18" i="55" s="1"/>
  <c r="Q17" i="55"/>
  <c r="P17" i="55"/>
  <c r="N17" i="55"/>
  <c r="L17" i="55"/>
  <c r="M17" i="55" s="1"/>
  <c r="O17" i="55" s="1"/>
  <c r="Q11" i="55"/>
  <c r="P11" i="55"/>
  <c r="N11" i="55"/>
  <c r="L11" i="55"/>
  <c r="M11" i="55" s="1"/>
  <c r="Q22" i="55"/>
  <c r="P22" i="55"/>
  <c r="N22" i="55"/>
  <c r="L22" i="55"/>
  <c r="M22" i="55" s="1"/>
  <c r="Q21" i="55"/>
  <c r="P21" i="55"/>
  <c r="N21" i="55"/>
  <c r="N47" i="55" s="1"/>
  <c r="L21" i="55"/>
  <c r="M21" i="55" s="1"/>
  <c r="F12" i="51"/>
  <c r="F13" i="51"/>
  <c r="F14" i="51"/>
  <c r="F15" i="51"/>
  <c r="F16" i="51"/>
  <c r="F17" i="51"/>
  <c r="F18" i="51"/>
  <c r="F19" i="51"/>
  <c r="F20" i="51"/>
  <c r="F21" i="51"/>
  <c r="F22" i="51"/>
  <c r="F23" i="51"/>
  <c r="F24" i="51"/>
  <c r="F25" i="51"/>
  <c r="F26" i="51"/>
  <c r="F27" i="51"/>
  <c r="F28" i="51"/>
  <c r="F29" i="51"/>
  <c r="F30" i="51"/>
  <c r="F31" i="51"/>
  <c r="F32" i="51"/>
  <c r="F33" i="51"/>
  <c r="F34" i="51"/>
  <c r="F35" i="51"/>
  <c r="F36" i="51"/>
  <c r="F37" i="51"/>
  <c r="F38" i="51"/>
  <c r="F39" i="51"/>
  <c r="F40" i="51"/>
  <c r="F41" i="51"/>
  <c r="F11" i="51"/>
  <c r="B35" i="44" a="1"/>
  <c r="B35" i="44" s="1"/>
  <c r="G12" i="51" a="1"/>
  <c r="G14" i="51" a="1"/>
  <c r="G16" i="51" a="1"/>
  <c r="G18" i="51" a="1"/>
  <c r="G20" i="51" a="1"/>
  <c r="G22" i="51" a="1"/>
  <c r="G24" i="51" a="1"/>
  <c r="G26" i="51" a="1"/>
  <c r="G30" i="51" a="1"/>
  <c r="G32" i="51" a="1"/>
  <c r="G34" i="51" a="1"/>
  <c r="G38" i="51" a="1"/>
  <c r="G41" i="51" a="1"/>
  <c r="G21" i="51" a="1"/>
  <c r="G29" i="51" a="1"/>
  <c r="G33" i="51" a="1"/>
  <c r="G37" i="51" a="1"/>
  <c r="G13" i="51" a="1"/>
  <c r="G15" i="51" a="1"/>
  <c r="G17" i="51" a="1"/>
  <c r="G19" i="51" a="1"/>
  <c r="G23" i="51" a="1"/>
  <c r="G25" i="51" a="1"/>
  <c r="G27" i="51" a="1"/>
  <c r="G31" i="51" a="1"/>
  <c r="G35" i="51" a="1"/>
  <c r="G39" i="51" a="1"/>
  <c r="G28" i="51" a="1"/>
  <c r="G36" i="51" a="1"/>
  <c r="G40" i="51" a="1"/>
  <c r="G11" i="51" a="1"/>
  <c r="O23" i="55" l="1"/>
  <c r="O24" i="55"/>
  <c r="O25" i="55"/>
  <c r="R38" i="55"/>
  <c r="R40" i="55"/>
  <c r="R41" i="55"/>
  <c r="P48" i="55"/>
  <c r="O22" i="55"/>
  <c r="R11" i="55"/>
  <c r="R17" i="55"/>
  <c r="O39" i="55"/>
  <c r="R26" i="55"/>
  <c r="O34" i="55"/>
  <c r="O35" i="55"/>
  <c r="R19" i="55"/>
  <c r="R23" i="55"/>
  <c r="O13" i="55"/>
  <c r="O14" i="55"/>
  <c r="R15" i="55"/>
  <c r="R37" i="55"/>
  <c r="O16" i="55"/>
  <c r="R29" i="55"/>
  <c r="R31" i="55"/>
  <c r="O12" i="55"/>
  <c r="R20" i="55"/>
  <c r="R13" i="55"/>
  <c r="O38" i="55"/>
  <c r="O28" i="55"/>
  <c r="O41" i="55"/>
  <c r="O29" i="55"/>
  <c r="O18" i="55"/>
  <c r="O27" i="55"/>
  <c r="O30" i="55"/>
  <c r="O36" i="55"/>
  <c r="O32" i="55"/>
  <c r="R24" i="55"/>
  <c r="R36" i="55"/>
  <c r="R16" i="55"/>
  <c r="R35" i="55"/>
  <c r="O19" i="55"/>
  <c r="R12" i="55"/>
  <c r="O20" i="55"/>
  <c r="R33" i="55"/>
  <c r="R39" i="55"/>
  <c r="O31" i="55"/>
  <c r="R14" i="55"/>
  <c r="R28" i="55"/>
  <c r="O40" i="55"/>
  <c r="R34" i="55"/>
  <c r="O46" i="55"/>
  <c r="P47" i="55"/>
  <c r="N48" i="55"/>
  <c r="N49" i="55"/>
  <c r="R22" i="55"/>
  <c r="O11" i="55"/>
  <c r="R21" i="55"/>
  <c r="R18" i="55"/>
  <c r="R30" i="55"/>
  <c r="R32" i="55"/>
  <c r="R25" i="55"/>
  <c r="R27" i="55"/>
  <c r="P49" i="55"/>
  <c r="O21" i="55"/>
  <c r="G40" i="51"/>
  <c r="G36" i="51"/>
  <c r="G28" i="51"/>
  <c r="G39" i="51"/>
  <c r="G35" i="51"/>
  <c r="G31" i="51"/>
  <c r="G27" i="51"/>
  <c r="G25" i="51"/>
  <c r="G23" i="51"/>
  <c r="G19" i="51"/>
  <c r="G17" i="51"/>
  <c r="G15" i="51"/>
  <c r="G13" i="51"/>
  <c r="G37" i="51"/>
  <c r="G33" i="51"/>
  <c r="G29" i="51"/>
  <c r="G21" i="51"/>
  <c r="G41" i="51"/>
  <c r="G38" i="51"/>
  <c r="G34" i="51"/>
  <c r="G32" i="51"/>
  <c r="G30" i="51"/>
  <c r="G26" i="51"/>
  <c r="G24" i="51"/>
  <c r="G22" i="51"/>
  <c r="G20" i="51"/>
  <c r="G18" i="51"/>
  <c r="G16" i="51"/>
  <c r="G14" i="51"/>
  <c r="G12" i="51"/>
  <c r="G11" i="51"/>
  <c r="B29" i="44"/>
  <c r="Q22" i="44"/>
  <c r="E8" i="18"/>
  <c r="E10" i="18"/>
  <c r="E12" i="17"/>
  <c r="E10" i="17"/>
  <c r="E8" i="17"/>
  <c r="E12" i="16"/>
  <c r="E10" i="16"/>
  <c r="D10" i="16"/>
  <c r="D16" i="14"/>
  <c r="D11" i="14"/>
  <c r="D5" i="14"/>
  <c r="C45" i="33"/>
  <c r="E4" i="43"/>
  <c r="D4" i="43"/>
  <c r="C4" i="43"/>
  <c r="B4" i="43"/>
  <c r="A4" i="43"/>
  <c r="Q41" i="43"/>
  <c r="P41" i="43"/>
  <c r="N41" i="43"/>
  <c r="R41" i="43" s="1"/>
  <c r="L41" i="43"/>
  <c r="M41" i="43" s="1"/>
  <c r="O41" i="43" s="1"/>
  <c r="Q40" i="43"/>
  <c r="P40" i="43"/>
  <c r="N40" i="43"/>
  <c r="R40" i="43" s="1"/>
  <c r="M40" i="43"/>
  <c r="L40" i="43"/>
  <c r="Q39" i="43"/>
  <c r="P39" i="43"/>
  <c r="N39" i="43"/>
  <c r="O39" i="43" s="1"/>
  <c r="M39" i="43"/>
  <c r="L39" i="43"/>
  <c r="Q38" i="43"/>
  <c r="P38" i="43"/>
  <c r="N38" i="43"/>
  <c r="R38" i="43" s="1"/>
  <c r="L38" i="43"/>
  <c r="M38" i="43" s="1"/>
  <c r="O38" i="43" s="1"/>
  <c r="Q37" i="43"/>
  <c r="P37" i="43"/>
  <c r="N37" i="43"/>
  <c r="R37" i="43" s="1"/>
  <c r="L37" i="43"/>
  <c r="M37" i="43" s="1"/>
  <c r="O37" i="43" s="1"/>
  <c r="Q36" i="43"/>
  <c r="P36" i="43"/>
  <c r="N36" i="43"/>
  <c r="O36" i="43" s="1"/>
  <c r="M36" i="43"/>
  <c r="L36" i="43"/>
  <c r="Q35" i="43"/>
  <c r="P35" i="43"/>
  <c r="N35" i="43"/>
  <c r="O35" i="43" s="1"/>
  <c r="M35" i="43"/>
  <c r="L35" i="43"/>
  <c r="Q34" i="43"/>
  <c r="P34" i="43"/>
  <c r="N34" i="43"/>
  <c r="R34" i="43" s="1"/>
  <c r="L34" i="43"/>
  <c r="M34" i="43" s="1"/>
  <c r="O34" i="43" s="1"/>
  <c r="Q33" i="43"/>
  <c r="P33" i="43"/>
  <c r="N33" i="43"/>
  <c r="R33" i="43" s="1"/>
  <c r="L33" i="43"/>
  <c r="M33" i="43" s="1"/>
  <c r="O33" i="43" s="1"/>
  <c r="Q32" i="43"/>
  <c r="P32" i="43"/>
  <c r="N32" i="43"/>
  <c r="R32" i="43" s="1"/>
  <c r="M32" i="43"/>
  <c r="L32" i="43"/>
  <c r="Q31" i="43"/>
  <c r="P31" i="43"/>
  <c r="N31" i="43"/>
  <c r="O31" i="43" s="1"/>
  <c r="M31" i="43"/>
  <c r="L31" i="43"/>
  <c r="Q30" i="43"/>
  <c r="P30" i="43"/>
  <c r="N30" i="43"/>
  <c r="R30" i="43" s="1"/>
  <c r="L30" i="43"/>
  <c r="M30" i="43" s="1"/>
  <c r="O30" i="43" s="1"/>
  <c r="Q29" i="43"/>
  <c r="P29" i="43"/>
  <c r="N29" i="43"/>
  <c r="R29" i="43" s="1"/>
  <c r="L29" i="43"/>
  <c r="M29" i="43" s="1"/>
  <c r="O29" i="43" s="1"/>
  <c r="Q28" i="43"/>
  <c r="P28" i="43"/>
  <c r="N28" i="43"/>
  <c r="R28" i="43" s="1"/>
  <c r="M28" i="43"/>
  <c r="L28" i="43"/>
  <c r="Q27" i="43"/>
  <c r="P27" i="43"/>
  <c r="N27" i="43"/>
  <c r="O27" i="43" s="1"/>
  <c r="M27" i="43"/>
  <c r="L27" i="43"/>
  <c r="Q26" i="43"/>
  <c r="P26" i="43"/>
  <c r="N26" i="43"/>
  <c r="R26" i="43" s="1"/>
  <c r="L26" i="43"/>
  <c r="M26" i="43" s="1"/>
  <c r="O26" i="43" s="1"/>
  <c r="Q25" i="43"/>
  <c r="P25" i="43"/>
  <c r="N25" i="43"/>
  <c r="R25" i="43" s="1"/>
  <c r="L25" i="43"/>
  <c r="M25" i="43" s="1"/>
  <c r="O25" i="43" s="1"/>
  <c r="Q24" i="43"/>
  <c r="P24" i="43"/>
  <c r="N24" i="43"/>
  <c r="R24" i="43" s="1"/>
  <c r="M24" i="43"/>
  <c r="L24" i="43"/>
  <c r="Q23" i="43"/>
  <c r="P23" i="43"/>
  <c r="N23" i="43"/>
  <c r="O23" i="43" s="1"/>
  <c r="M23" i="43"/>
  <c r="L23" i="43"/>
  <c r="Q22" i="43"/>
  <c r="P22" i="43"/>
  <c r="N22" i="43"/>
  <c r="R22" i="43" s="1"/>
  <c r="L22" i="43"/>
  <c r="M22" i="43" s="1"/>
  <c r="O22" i="43" s="1"/>
  <c r="Q21" i="43"/>
  <c r="P21" i="43"/>
  <c r="N21" i="43"/>
  <c r="R21" i="43" s="1"/>
  <c r="L21" i="43"/>
  <c r="M21" i="43" s="1"/>
  <c r="O21" i="43" s="1"/>
  <c r="Q20" i="43"/>
  <c r="P20" i="43"/>
  <c r="N20" i="43"/>
  <c r="R20" i="43" s="1"/>
  <c r="M20" i="43"/>
  <c r="L20" i="43"/>
  <c r="Q19" i="43"/>
  <c r="P19" i="43"/>
  <c r="N19" i="43"/>
  <c r="O19" i="43" s="1"/>
  <c r="M19" i="43"/>
  <c r="L19" i="43"/>
  <c r="Q18" i="43"/>
  <c r="P18" i="43"/>
  <c r="N18" i="43"/>
  <c r="R18" i="43" s="1"/>
  <c r="L18" i="43"/>
  <c r="M18" i="43" s="1"/>
  <c r="O18" i="43" s="1"/>
  <c r="Q17" i="43"/>
  <c r="P17" i="43"/>
  <c r="N17" i="43"/>
  <c r="R17" i="43" s="1"/>
  <c r="L17" i="43"/>
  <c r="M17" i="43" s="1"/>
  <c r="O17" i="43" s="1"/>
  <c r="Q16" i="43"/>
  <c r="P16" i="43"/>
  <c r="N16" i="43"/>
  <c r="R16" i="43" s="1"/>
  <c r="M16" i="43"/>
  <c r="L16" i="43"/>
  <c r="Q15" i="43"/>
  <c r="P15" i="43"/>
  <c r="N15" i="43"/>
  <c r="O15" i="43" s="1"/>
  <c r="M15" i="43"/>
  <c r="L15" i="43"/>
  <c r="Q14" i="43"/>
  <c r="P14" i="43"/>
  <c r="N14" i="43"/>
  <c r="R14" i="43" s="1"/>
  <c r="L14" i="43"/>
  <c r="M14" i="43" s="1"/>
  <c r="O14" i="43" s="1"/>
  <c r="Q13" i="43"/>
  <c r="P13" i="43"/>
  <c r="N13" i="43"/>
  <c r="R13" i="43" s="1"/>
  <c r="L13" i="43"/>
  <c r="M13" i="43" s="1"/>
  <c r="O13" i="43" s="1"/>
  <c r="Q12" i="43"/>
  <c r="P12" i="43"/>
  <c r="N12" i="43"/>
  <c r="R12" i="43" s="1"/>
  <c r="M12" i="43"/>
  <c r="L12" i="43"/>
  <c r="Q11" i="43"/>
  <c r="P11" i="43"/>
  <c r="N11" i="43"/>
  <c r="O11" i="43" s="1"/>
  <c r="M11" i="43"/>
  <c r="L11" i="43"/>
  <c r="K49" i="50"/>
  <c r="J49" i="50"/>
  <c r="G49" i="50"/>
  <c r="K48" i="50"/>
  <c r="J48" i="50"/>
  <c r="G48" i="50"/>
  <c r="G47" i="50"/>
  <c r="Q41" i="50"/>
  <c r="P41" i="50"/>
  <c r="N41" i="50"/>
  <c r="L41" i="50"/>
  <c r="M41" i="50" s="1"/>
  <c r="Q40" i="50"/>
  <c r="P40" i="50"/>
  <c r="N40" i="50"/>
  <c r="L40" i="50"/>
  <c r="M40" i="50" s="1"/>
  <c r="Q39" i="50"/>
  <c r="P39" i="50"/>
  <c r="N39" i="50"/>
  <c r="L39" i="50"/>
  <c r="M39" i="50" s="1"/>
  <c r="Q38" i="50"/>
  <c r="P38" i="50"/>
  <c r="N38" i="50"/>
  <c r="L38" i="50"/>
  <c r="M38" i="50" s="1"/>
  <c r="Q37" i="50"/>
  <c r="P37" i="50"/>
  <c r="N37" i="50"/>
  <c r="L37" i="50"/>
  <c r="M37" i="50" s="1"/>
  <c r="Q36" i="50"/>
  <c r="P36" i="50"/>
  <c r="N36" i="50"/>
  <c r="L36" i="50"/>
  <c r="M36" i="50" s="1"/>
  <c r="Q35" i="50"/>
  <c r="P35" i="50"/>
  <c r="N35" i="50"/>
  <c r="L35" i="50"/>
  <c r="M35" i="50" s="1"/>
  <c r="Q34" i="50"/>
  <c r="P34" i="50"/>
  <c r="N34" i="50"/>
  <c r="L34" i="50"/>
  <c r="M34" i="50" s="1"/>
  <c r="Q33" i="50"/>
  <c r="P33" i="50"/>
  <c r="N33" i="50"/>
  <c r="L33" i="50"/>
  <c r="M33" i="50" s="1"/>
  <c r="Q32" i="50"/>
  <c r="P32" i="50"/>
  <c r="N32" i="50"/>
  <c r="L32" i="50"/>
  <c r="M32" i="50" s="1"/>
  <c r="Q31" i="50"/>
  <c r="P31" i="50"/>
  <c r="N31" i="50"/>
  <c r="L31" i="50"/>
  <c r="M31" i="50" s="1"/>
  <c r="Q30" i="50"/>
  <c r="P30" i="50"/>
  <c r="N30" i="50"/>
  <c r="L30" i="50"/>
  <c r="M30" i="50" s="1"/>
  <c r="Q29" i="50"/>
  <c r="P29" i="50"/>
  <c r="N29" i="50"/>
  <c r="L29" i="50"/>
  <c r="M29" i="50" s="1"/>
  <c r="Q28" i="50"/>
  <c r="P28" i="50"/>
  <c r="N28" i="50"/>
  <c r="L28" i="50"/>
  <c r="M28" i="50" s="1"/>
  <c r="Q27" i="50"/>
  <c r="P27" i="50"/>
  <c r="N27" i="50"/>
  <c r="L27" i="50"/>
  <c r="M27" i="50" s="1"/>
  <c r="Q26" i="50"/>
  <c r="P26" i="50"/>
  <c r="N26" i="50"/>
  <c r="L26" i="50"/>
  <c r="M26" i="50" s="1"/>
  <c r="Q25" i="50"/>
  <c r="P25" i="50"/>
  <c r="N25" i="50"/>
  <c r="L25" i="50"/>
  <c r="M25" i="50" s="1"/>
  <c r="Q24" i="50"/>
  <c r="P24" i="50"/>
  <c r="N24" i="50"/>
  <c r="L24" i="50"/>
  <c r="M24" i="50" s="1"/>
  <c r="Q23" i="50"/>
  <c r="P23" i="50"/>
  <c r="N23" i="50"/>
  <c r="L23" i="50"/>
  <c r="M23" i="50" s="1"/>
  <c r="Q22" i="50"/>
  <c r="P22" i="50"/>
  <c r="N22" i="50"/>
  <c r="L22" i="50"/>
  <c r="M22" i="50" s="1"/>
  <c r="Q21" i="50"/>
  <c r="P21" i="50"/>
  <c r="N21" i="50"/>
  <c r="L21" i="50"/>
  <c r="M21" i="50" s="1"/>
  <c r="Q20" i="50"/>
  <c r="P20" i="50"/>
  <c r="N20" i="50"/>
  <c r="L20" i="50"/>
  <c r="M20" i="50" s="1"/>
  <c r="Q19" i="50"/>
  <c r="P19" i="50"/>
  <c r="N19" i="50"/>
  <c r="L19" i="50"/>
  <c r="M19" i="50" s="1"/>
  <c r="Q18" i="50"/>
  <c r="P18" i="50"/>
  <c r="N18" i="50"/>
  <c r="L18" i="50"/>
  <c r="M18" i="50" s="1"/>
  <c r="Q17" i="50"/>
  <c r="P17" i="50"/>
  <c r="N17" i="50"/>
  <c r="L17" i="50"/>
  <c r="M17" i="50" s="1"/>
  <c r="Q16" i="50"/>
  <c r="P16" i="50"/>
  <c r="N16" i="50"/>
  <c r="L16" i="50"/>
  <c r="M16" i="50" s="1"/>
  <c r="Q15" i="50"/>
  <c r="P15" i="50"/>
  <c r="N15" i="50"/>
  <c r="L15" i="50"/>
  <c r="M15" i="50" s="1"/>
  <c r="Q14" i="50"/>
  <c r="P14" i="50"/>
  <c r="N14" i="50"/>
  <c r="L14" i="50"/>
  <c r="M14" i="50" s="1"/>
  <c r="Q13" i="50"/>
  <c r="P13" i="50"/>
  <c r="N13" i="50"/>
  <c r="L13" i="50"/>
  <c r="M13" i="50" s="1"/>
  <c r="Q12" i="50"/>
  <c r="P12" i="50"/>
  <c r="N12" i="50"/>
  <c r="L12" i="50"/>
  <c r="M12" i="50" s="1"/>
  <c r="Q11" i="50"/>
  <c r="P11" i="50"/>
  <c r="P48" i="50" s="1"/>
  <c r="N11" i="50"/>
  <c r="L11" i="50"/>
  <c r="M11" i="50" s="1"/>
  <c r="K49" i="47"/>
  <c r="J49" i="47"/>
  <c r="G49" i="47"/>
  <c r="K48" i="47"/>
  <c r="J48" i="47"/>
  <c r="G48" i="47"/>
  <c r="G47" i="47"/>
  <c r="Q41" i="47"/>
  <c r="P41" i="47"/>
  <c r="N41" i="47"/>
  <c r="L41" i="47"/>
  <c r="M41" i="47" s="1"/>
  <c r="Q40" i="47"/>
  <c r="P40" i="47"/>
  <c r="N40" i="47"/>
  <c r="M40" i="47"/>
  <c r="O40" i="47" s="1"/>
  <c r="L40" i="47"/>
  <c r="Q39" i="47"/>
  <c r="P39" i="47"/>
  <c r="N39" i="47"/>
  <c r="L39" i="47"/>
  <c r="M39" i="47" s="1"/>
  <c r="Q38" i="47"/>
  <c r="P38" i="47"/>
  <c r="N38" i="47"/>
  <c r="L38" i="47"/>
  <c r="M38" i="47" s="1"/>
  <c r="Q37" i="47"/>
  <c r="P37" i="47"/>
  <c r="N37" i="47"/>
  <c r="O37" i="47" s="1"/>
  <c r="M37" i="47"/>
  <c r="L37" i="47"/>
  <c r="Q36" i="47"/>
  <c r="P36" i="47"/>
  <c r="N36" i="47"/>
  <c r="L36" i="47"/>
  <c r="M36" i="47" s="1"/>
  <c r="Q35" i="47"/>
  <c r="P35" i="47"/>
  <c r="N35" i="47"/>
  <c r="L35" i="47"/>
  <c r="M35" i="47" s="1"/>
  <c r="O35" i="47" s="1"/>
  <c r="Q34" i="47"/>
  <c r="P34" i="47"/>
  <c r="N34" i="47"/>
  <c r="L34" i="47"/>
  <c r="M34" i="47" s="1"/>
  <c r="O34" i="47" s="1"/>
  <c r="Q33" i="47"/>
  <c r="P33" i="47"/>
  <c r="N33" i="47"/>
  <c r="L33" i="47"/>
  <c r="M33" i="47" s="1"/>
  <c r="Q32" i="47"/>
  <c r="P32" i="47"/>
  <c r="N32" i="47"/>
  <c r="M32" i="47"/>
  <c r="L32" i="47"/>
  <c r="Q31" i="47"/>
  <c r="P31" i="47"/>
  <c r="N31" i="47"/>
  <c r="L31" i="47"/>
  <c r="M31" i="47" s="1"/>
  <c r="Q30" i="47"/>
  <c r="P30" i="47"/>
  <c r="N30" i="47"/>
  <c r="L30" i="47"/>
  <c r="M30" i="47" s="1"/>
  <c r="Q29" i="47"/>
  <c r="P29" i="47"/>
  <c r="N29" i="47"/>
  <c r="L29" i="47"/>
  <c r="M29" i="47" s="1"/>
  <c r="Q28" i="47"/>
  <c r="P28" i="47"/>
  <c r="N28" i="47"/>
  <c r="L28" i="47"/>
  <c r="M28" i="47" s="1"/>
  <c r="O28" i="47" s="1"/>
  <c r="Q27" i="47"/>
  <c r="P27" i="47"/>
  <c r="N27" i="47"/>
  <c r="L27" i="47"/>
  <c r="M27" i="47" s="1"/>
  <c r="O27" i="47" s="1"/>
  <c r="Q26" i="47"/>
  <c r="P26" i="47"/>
  <c r="N26" i="47"/>
  <c r="O26" i="47" s="1"/>
  <c r="M26" i="47"/>
  <c r="L26" i="47"/>
  <c r="Q25" i="47"/>
  <c r="P25" i="47"/>
  <c r="N25" i="47"/>
  <c r="L25" i="47"/>
  <c r="M25" i="47" s="1"/>
  <c r="Q24" i="47"/>
  <c r="P24" i="47"/>
  <c r="N24" i="47"/>
  <c r="L24" i="47"/>
  <c r="M24" i="47" s="1"/>
  <c r="O24" i="47" s="1"/>
  <c r="Q23" i="47"/>
  <c r="P23" i="47"/>
  <c r="N23" i="47"/>
  <c r="L23" i="47"/>
  <c r="M23" i="47" s="1"/>
  <c r="O23" i="47" s="1"/>
  <c r="Q22" i="47"/>
  <c r="P22" i="47"/>
  <c r="N22" i="47"/>
  <c r="L22" i="47"/>
  <c r="M22" i="47" s="1"/>
  <c r="O22" i="47" s="1"/>
  <c r="Q21" i="47"/>
  <c r="P21" i="47"/>
  <c r="N21" i="47"/>
  <c r="L21" i="47"/>
  <c r="M21" i="47" s="1"/>
  <c r="Q20" i="47"/>
  <c r="P20" i="47"/>
  <c r="N20" i="47"/>
  <c r="M20" i="47"/>
  <c r="O20" i="47" s="1"/>
  <c r="L20" i="47"/>
  <c r="Q19" i="47"/>
  <c r="P19" i="47"/>
  <c r="N19" i="47"/>
  <c r="L19" i="47"/>
  <c r="M19" i="47" s="1"/>
  <c r="Q18" i="47"/>
  <c r="P18" i="47"/>
  <c r="N18" i="47"/>
  <c r="L18" i="47"/>
  <c r="M18" i="47" s="1"/>
  <c r="Q17" i="47"/>
  <c r="P17" i="47"/>
  <c r="N17" i="47"/>
  <c r="L17" i="47"/>
  <c r="M17" i="47" s="1"/>
  <c r="Q16" i="47"/>
  <c r="P16" i="47"/>
  <c r="N16" i="47"/>
  <c r="M16" i="47"/>
  <c r="L16" i="47"/>
  <c r="Q15" i="47"/>
  <c r="P15" i="47"/>
  <c r="N15" i="47"/>
  <c r="L15" i="47"/>
  <c r="M15" i="47" s="1"/>
  <c r="O15" i="47" s="1"/>
  <c r="Q14" i="47"/>
  <c r="P14" i="47"/>
  <c r="N14" i="47"/>
  <c r="L14" i="47"/>
  <c r="M14" i="47" s="1"/>
  <c r="O14" i="47" s="1"/>
  <c r="Q13" i="47"/>
  <c r="P13" i="47"/>
  <c r="N13" i="47"/>
  <c r="L13" i="47"/>
  <c r="M13" i="47" s="1"/>
  <c r="Q12" i="47"/>
  <c r="P12" i="47"/>
  <c r="N12" i="47"/>
  <c r="L12" i="47"/>
  <c r="M12" i="47" s="1"/>
  <c r="O12" i="47" s="1"/>
  <c r="Q11" i="47"/>
  <c r="P11" i="47"/>
  <c r="N11" i="47"/>
  <c r="L11" i="47"/>
  <c r="M11" i="47" s="1"/>
  <c r="O11" i="47" s="1"/>
  <c r="K49" i="46"/>
  <c r="J49" i="46"/>
  <c r="G49" i="46"/>
  <c r="K48" i="46"/>
  <c r="J48" i="46"/>
  <c r="G48" i="46"/>
  <c r="G47" i="46"/>
  <c r="Q41" i="46"/>
  <c r="P41" i="46"/>
  <c r="N41" i="46"/>
  <c r="O41" i="46" s="1"/>
  <c r="M41" i="46"/>
  <c r="L41" i="46"/>
  <c r="Q40" i="46"/>
  <c r="P40" i="46"/>
  <c r="N40" i="46"/>
  <c r="L40" i="46"/>
  <c r="M40" i="46" s="1"/>
  <c r="O40" i="46" s="1"/>
  <c r="Q39" i="46"/>
  <c r="P39" i="46"/>
  <c r="N39" i="46"/>
  <c r="L39" i="46"/>
  <c r="M39" i="46" s="1"/>
  <c r="O39" i="46" s="1"/>
  <c r="Q38" i="46"/>
  <c r="P38" i="46"/>
  <c r="N38" i="46"/>
  <c r="O38" i="46" s="1"/>
  <c r="M38" i="46"/>
  <c r="L38" i="46"/>
  <c r="Q37" i="46"/>
  <c r="P37" i="46"/>
  <c r="N37" i="46"/>
  <c r="O37" i="46" s="1"/>
  <c r="M37" i="46"/>
  <c r="L37" i="46"/>
  <c r="Q36" i="46"/>
  <c r="P36" i="46"/>
  <c r="N36" i="46"/>
  <c r="L36" i="46"/>
  <c r="M36" i="46" s="1"/>
  <c r="O36" i="46" s="1"/>
  <c r="Q35" i="46"/>
  <c r="P35" i="46"/>
  <c r="N35" i="46"/>
  <c r="L35" i="46"/>
  <c r="M35" i="46" s="1"/>
  <c r="O35" i="46" s="1"/>
  <c r="Q34" i="46"/>
  <c r="P34" i="46"/>
  <c r="N34" i="46"/>
  <c r="O34" i="46" s="1"/>
  <c r="M34" i="46"/>
  <c r="L34" i="46"/>
  <c r="Q33" i="46"/>
  <c r="P33" i="46"/>
  <c r="N33" i="46"/>
  <c r="O33" i="46" s="1"/>
  <c r="M33" i="46"/>
  <c r="L33" i="46"/>
  <c r="Q32" i="46"/>
  <c r="P32" i="46"/>
  <c r="N32" i="46"/>
  <c r="R32" i="46" s="1"/>
  <c r="L32" i="46"/>
  <c r="M32" i="46" s="1"/>
  <c r="O32" i="46" s="1"/>
  <c r="Q31" i="46"/>
  <c r="P31" i="46"/>
  <c r="N31" i="46"/>
  <c r="R31" i="46" s="1"/>
  <c r="L31" i="46"/>
  <c r="M31" i="46" s="1"/>
  <c r="O31" i="46" s="1"/>
  <c r="Q30" i="46"/>
  <c r="P30" i="46"/>
  <c r="N30" i="46"/>
  <c r="O30" i="46" s="1"/>
  <c r="M30" i="46"/>
  <c r="L30" i="46"/>
  <c r="Q29" i="46"/>
  <c r="P29" i="46"/>
  <c r="N29" i="46"/>
  <c r="R29" i="46" s="1"/>
  <c r="M29" i="46"/>
  <c r="O29" i="46" s="1"/>
  <c r="L29" i="46"/>
  <c r="Q28" i="46"/>
  <c r="P28" i="46"/>
  <c r="N28" i="46"/>
  <c r="L28" i="46"/>
  <c r="M28" i="46" s="1"/>
  <c r="O28" i="46" s="1"/>
  <c r="Q27" i="46"/>
  <c r="P27" i="46"/>
  <c r="N27" i="46"/>
  <c r="L27" i="46"/>
  <c r="M27" i="46" s="1"/>
  <c r="O27" i="46" s="1"/>
  <c r="Q26" i="46"/>
  <c r="P26" i="46"/>
  <c r="N26" i="46"/>
  <c r="O26" i="46" s="1"/>
  <c r="M26" i="46"/>
  <c r="L26" i="46"/>
  <c r="Q25" i="46"/>
  <c r="P25" i="46"/>
  <c r="N25" i="46"/>
  <c r="O25" i="46" s="1"/>
  <c r="M25" i="46"/>
  <c r="L25" i="46"/>
  <c r="Q24" i="46"/>
  <c r="P24" i="46"/>
  <c r="N24" i="46"/>
  <c r="R24" i="46" s="1"/>
  <c r="L24" i="46"/>
  <c r="M24" i="46" s="1"/>
  <c r="O24" i="46" s="1"/>
  <c r="Q23" i="46"/>
  <c r="P23" i="46"/>
  <c r="O23" i="46"/>
  <c r="N23" i="46"/>
  <c r="R23" i="46" s="1"/>
  <c r="M23" i="46"/>
  <c r="L23" i="46"/>
  <c r="Q22" i="46"/>
  <c r="P22" i="46"/>
  <c r="N22" i="46"/>
  <c r="O22" i="46" s="1"/>
  <c r="M22" i="46"/>
  <c r="L22" i="46"/>
  <c r="Q21" i="46"/>
  <c r="P21" i="46"/>
  <c r="N21" i="46"/>
  <c r="M21" i="46"/>
  <c r="O21" i="46" s="1"/>
  <c r="L21" i="46"/>
  <c r="Q20" i="46"/>
  <c r="P20" i="46"/>
  <c r="N20" i="46"/>
  <c r="R20" i="46" s="1"/>
  <c r="L20" i="46"/>
  <c r="M20" i="46" s="1"/>
  <c r="O20" i="46" s="1"/>
  <c r="Q19" i="46"/>
  <c r="P19" i="46"/>
  <c r="O19" i="46"/>
  <c r="N19" i="46"/>
  <c r="R19" i="46" s="1"/>
  <c r="M19" i="46"/>
  <c r="L19" i="46"/>
  <c r="Q18" i="46"/>
  <c r="P18" i="46"/>
  <c r="N18" i="46"/>
  <c r="O18" i="46" s="1"/>
  <c r="M18" i="46"/>
  <c r="L18" i="46"/>
  <c r="Q17" i="46"/>
  <c r="P17" i="46"/>
  <c r="N17" i="46"/>
  <c r="M17" i="46"/>
  <c r="O17" i="46" s="1"/>
  <c r="L17" i="46"/>
  <c r="Q16" i="46"/>
  <c r="P16" i="46"/>
  <c r="N16" i="46"/>
  <c r="R16" i="46" s="1"/>
  <c r="L16" i="46"/>
  <c r="M16" i="46" s="1"/>
  <c r="O16" i="46" s="1"/>
  <c r="Q15" i="46"/>
  <c r="P15" i="46"/>
  <c r="O15" i="46"/>
  <c r="N15" i="46"/>
  <c r="R15" i="46" s="1"/>
  <c r="M15" i="46"/>
  <c r="L15" i="46"/>
  <c r="Q14" i="46"/>
  <c r="P14" i="46"/>
  <c r="N14" i="46"/>
  <c r="M14" i="46"/>
  <c r="L14" i="46"/>
  <c r="Q13" i="46"/>
  <c r="P13" i="46"/>
  <c r="N13" i="46"/>
  <c r="M13" i="46"/>
  <c r="O13" i="46" s="1"/>
  <c r="L13" i="46"/>
  <c r="Q12" i="46"/>
  <c r="P12" i="46"/>
  <c r="P48" i="46" s="1"/>
  <c r="N12" i="46"/>
  <c r="R12" i="46" s="1"/>
  <c r="L12" i="46"/>
  <c r="M12" i="46" s="1"/>
  <c r="O12" i="46" s="1"/>
  <c r="Q11" i="46"/>
  <c r="P11" i="46"/>
  <c r="P49" i="46" s="1"/>
  <c r="O11" i="46"/>
  <c r="N11" i="46"/>
  <c r="M11" i="46"/>
  <c r="L11" i="46"/>
  <c r="E54" i="45"/>
  <c r="K49" i="45"/>
  <c r="J49" i="45"/>
  <c r="G49" i="45"/>
  <c r="K48" i="45"/>
  <c r="J48" i="45"/>
  <c r="G48" i="45"/>
  <c r="G47" i="45"/>
  <c r="Q41" i="45"/>
  <c r="P41" i="45"/>
  <c r="N41" i="45"/>
  <c r="M41" i="45"/>
  <c r="O41" i="45" s="1"/>
  <c r="L41" i="45"/>
  <c r="Q40" i="45"/>
  <c r="P40" i="45"/>
  <c r="N40" i="45"/>
  <c r="O40" i="45" s="1"/>
  <c r="L40" i="45"/>
  <c r="M40" i="45" s="1"/>
  <c r="Q39" i="45"/>
  <c r="P39" i="45"/>
  <c r="O39" i="45"/>
  <c r="N39" i="45"/>
  <c r="M39" i="45"/>
  <c r="L39" i="45"/>
  <c r="Q38" i="45"/>
  <c r="P38" i="45"/>
  <c r="N38" i="45"/>
  <c r="L38" i="45"/>
  <c r="M38" i="45" s="1"/>
  <c r="Q37" i="45"/>
  <c r="P37" i="45"/>
  <c r="N37" i="45"/>
  <c r="M37" i="45"/>
  <c r="O37" i="45" s="1"/>
  <c r="L37" i="45"/>
  <c r="Q36" i="45"/>
  <c r="P36" i="45"/>
  <c r="N36" i="45"/>
  <c r="L36" i="45"/>
  <c r="M36" i="45" s="1"/>
  <c r="Q35" i="45"/>
  <c r="P35" i="45"/>
  <c r="O35" i="45"/>
  <c r="N35" i="45"/>
  <c r="M35" i="45"/>
  <c r="L35" i="45"/>
  <c r="Q34" i="45"/>
  <c r="P34" i="45"/>
  <c r="N34" i="45"/>
  <c r="L34" i="45"/>
  <c r="M34" i="45" s="1"/>
  <c r="Q33" i="45"/>
  <c r="P33" i="45"/>
  <c r="N33" i="45"/>
  <c r="M33" i="45"/>
  <c r="O33" i="45" s="1"/>
  <c r="L33" i="45"/>
  <c r="Q32" i="45"/>
  <c r="P32" i="45"/>
  <c r="N32" i="45"/>
  <c r="L32" i="45"/>
  <c r="M32" i="45" s="1"/>
  <c r="Q31" i="45"/>
  <c r="P31" i="45"/>
  <c r="O31" i="45"/>
  <c r="N31" i="45"/>
  <c r="M31" i="45"/>
  <c r="L31" i="45"/>
  <c r="Q30" i="45"/>
  <c r="P30" i="45"/>
  <c r="N30" i="45"/>
  <c r="O30" i="45" s="1"/>
  <c r="L30" i="45"/>
  <c r="M30" i="45" s="1"/>
  <c r="Q29" i="45"/>
  <c r="P29" i="45"/>
  <c r="N29" i="45"/>
  <c r="R29" i="45" s="1"/>
  <c r="M29" i="45"/>
  <c r="O29" i="45" s="1"/>
  <c r="L29" i="45"/>
  <c r="Q28" i="45"/>
  <c r="P28" i="45"/>
  <c r="N28" i="45"/>
  <c r="L28" i="45"/>
  <c r="M28" i="45" s="1"/>
  <c r="O28" i="45" s="1"/>
  <c r="Q27" i="45"/>
  <c r="P27" i="45"/>
  <c r="O27" i="45"/>
  <c r="N27" i="45"/>
  <c r="M27" i="45"/>
  <c r="L27" i="45"/>
  <c r="Q26" i="45"/>
  <c r="P26" i="45"/>
  <c r="N26" i="45"/>
  <c r="O26" i="45" s="1"/>
  <c r="M26" i="45"/>
  <c r="L26" i="45"/>
  <c r="Q25" i="45"/>
  <c r="P25" i="45"/>
  <c r="N25" i="45"/>
  <c r="R25" i="45" s="1"/>
  <c r="M25" i="45"/>
  <c r="O25" i="45" s="1"/>
  <c r="L25" i="45"/>
  <c r="Q24" i="45"/>
  <c r="P24" i="45"/>
  <c r="N24" i="45"/>
  <c r="L24" i="45"/>
  <c r="M24" i="45" s="1"/>
  <c r="O24" i="45" s="1"/>
  <c r="Q23" i="45"/>
  <c r="P23" i="45"/>
  <c r="O23" i="45"/>
  <c r="N23" i="45"/>
  <c r="M23" i="45"/>
  <c r="L23" i="45"/>
  <c r="Q22" i="45"/>
  <c r="P22" i="45"/>
  <c r="N22" i="45"/>
  <c r="O22" i="45" s="1"/>
  <c r="M22" i="45"/>
  <c r="L22" i="45"/>
  <c r="F54" i="45" s="1"/>
  <c r="Q21" i="45"/>
  <c r="P21" i="45"/>
  <c r="N21" i="45"/>
  <c r="R21" i="45" s="1"/>
  <c r="M21" i="45"/>
  <c r="O21" i="45" s="1"/>
  <c r="L21" i="45"/>
  <c r="Q20" i="45"/>
  <c r="P20" i="45"/>
  <c r="N20" i="45"/>
  <c r="L20" i="45"/>
  <c r="M20" i="45" s="1"/>
  <c r="O20" i="45" s="1"/>
  <c r="Q19" i="45"/>
  <c r="P19" i="45"/>
  <c r="O19" i="45"/>
  <c r="N19" i="45"/>
  <c r="M19" i="45"/>
  <c r="L19" i="45"/>
  <c r="Q18" i="45"/>
  <c r="P18" i="45"/>
  <c r="N18" i="45"/>
  <c r="R18" i="45" s="1"/>
  <c r="M18" i="45"/>
  <c r="L18" i="45"/>
  <c r="Q17" i="45"/>
  <c r="P17" i="45"/>
  <c r="N17" i="45"/>
  <c r="R17" i="45" s="1"/>
  <c r="M17" i="45"/>
  <c r="O17" i="45" s="1"/>
  <c r="L17" i="45"/>
  <c r="Q16" i="45"/>
  <c r="P16" i="45"/>
  <c r="N16" i="45"/>
  <c r="L16" i="45"/>
  <c r="M16" i="45" s="1"/>
  <c r="O16" i="45" s="1"/>
  <c r="Q15" i="45"/>
  <c r="P15" i="45"/>
  <c r="O15" i="45"/>
  <c r="N15" i="45"/>
  <c r="M15" i="45"/>
  <c r="L15" i="45"/>
  <c r="Q14" i="45"/>
  <c r="P14" i="45"/>
  <c r="N14" i="45"/>
  <c r="O14" i="45" s="1"/>
  <c r="M14" i="45"/>
  <c r="L14" i="45"/>
  <c r="Q13" i="45"/>
  <c r="P13" i="45"/>
  <c r="N13" i="45"/>
  <c r="R13" i="45" s="1"/>
  <c r="M13" i="45"/>
  <c r="O13" i="45" s="1"/>
  <c r="L13" i="45"/>
  <c r="Q12" i="45"/>
  <c r="P12" i="45"/>
  <c r="P48" i="45" s="1"/>
  <c r="N12" i="45"/>
  <c r="L12" i="45"/>
  <c r="M12" i="45" s="1"/>
  <c r="O12" i="45" s="1"/>
  <c r="Q11" i="45"/>
  <c r="P11" i="45"/>
  <c r="P49" i="45" s="1"/>
  <c r="O11" i="45"/>
  <c r="N11" i="45"/>
  <c r="M11" i="45"/>
  <c r="L11" i="45"/>
  <c r="N22" i="1"/>
  <c r="R11" i="1" s="1"/>
  <c r="B27" i="44"/>
  <c r="B26" i="44"/>
  <c r="C16" i="14"/>
  <c r="K54" i="13"/>
  <c r="K53" i="13"/>
  <c r="J54" i="13"/>
  <c r="J53" i="13"/>
  <c r="G54" i="13"/>
  <c r="G53" i="13"/>
  <c r="G52" i="13"/>
  <c r="Q25" i="13"/>
  <c r="Q11" i="13"/>
  <c r="Q19" i="13"/>
  <c r="Q20" i="13"/>
  <c r="Q38" i="13"/>
  <c r="Q21" i="13"/>
  <c r="Q26" i="13"/>
  <c r="Q33" i="13"/>
  <c r="Q12" i="13"/>
  <c r="Q22" i="13"/>
  <c r="Q13" i="13"/>
  <c r="Q35" i="13"/>
  <c r="Q36" i="13"/>
  <c r="Q27" i="13"/>
  <c r="Q42" i="13"/>
  <c r="Q28" i="13"/>
  <c r="Q43" i="13"/>
  <c r="Q34" i="13"/>
  <c r="Q29" i="13"/>
  <c r="Q30" i="13"/>
  <c r="Q14" i="13"/>
  <c r="Q39" i="13"/>
  <c r="Q15" i="13"/>
  <c r="Q40" i="13"/>
  <c r="Q31" i="13"/>
  <c r="Q44" i="13"/>
  <c r="Q45" i="13"/>
  <c r="Q32" i="13"/>
  <c r="Q37" i="13"/>
  <c r="Q16" i="13"/>
  <c r="Q46" i="13"/>
  <c r="Q41" i="13"/>
  <c r="Q17" i="13"/>
  <c r="Q18" i="13"/>
  <c r="Q47" i="13"/>
  <c r="Q23" i="13"/>
  <c r="Q24" i="13"/>
  <c r="P25" i="13"/>
  <c r="P11" i="13"/>
  <c r="P19" i="13"/>
  <c r="P20" i="13"/>
  <c r="P38" i="13"/>
  <c r="P21" i="13"/>
  <c r="P26" i="13"/>
  <c r="P33" i="13"/>
  <c r="P12" i="13"/>
  <c r="P22" i="13"/>
  <c r="P13" i="13"/>
  <c r="P35" i="13"/>
  <c r="P36" i="13"/>
  <c r="P27" i="13"/>
  <c r="P42" i="13"/>
  <c r="P28" i="13"/>
  <c r="P43" i="13"/>
  <c r="P34" i="13"/>
  <c r="P29" i="13"/>
  <c r="P30" i="13"/>
  <c r="P14" i="13"/>
  <c r="P39" i="13"/>
  <c r="P15" i="13"/>
  <c r="P40" i="13"/>
  <c r="P31" i="13"/>
  <c r="P44" i="13"/>
  <c r="P45" i="13"/>
  <c r="P32" i="13"/>
  <c r="P37" i="13"/>
  <c r="P16" i="13"/>
  <c r="P46" i="13"/>
  <c r="P41" i="13"/>
  <c r="P17" i="13"/>
  <c r="P18" i="13"/>
  <c r="P47" i="13"/>
  <c r="P23" i="13"/>
  <c r="P24" i="13"/>
  <c r="N25" i="13"/>
  <c r="N11" i="13"/>
  <c r="N19" i="13"/>
  <c r="N20" i="13"/>
  <c r="N38" i="13"/>
  <c r="N21" i="13"/>
  <c r="N26" i="13"/>
  <c r="N33" i="13"/>
  <c r="N12" i="13"/>
  <c r="N22" i="13"/>
  <c r="N13" i="13"/>
  <c r="N35" i="13"/>
  <c r="N36" i="13"/>
  <c r="N27" i="13"/>
  <c r="N42" i="13"/>
  <c r="N28" i="13"/>
  <c r="N43" i="13"/>
  <c r="N34" i="13"/>
  <c r="N29" i="13"/>
  <c r="N30" i="13"/>
  <c r="N14" i="13"/>
  <c r="N39" i="13"/>
  <c r="N15" i="13"/>
  <c r="N40" i="13"/>
  <c r="N31" i="13"/>
  <c r="N44" i="13"/>
  <c r="N45" i="13"/>
  <c r="N32" i="13"/>
  <c r="N37" i="13"/>
  <c r="N16" i="13"/>
  <c r="N46" i="13"/>
  <c r="N41" i="13"/>
  <c r="N17" i="13"/>
  <c r="N18" i="13"/>
  <c r="N47" i="13"/>
  <c r="N23" i="13"/>
  <c r="N24" i="13"/>
  <c r="M43" i="13"/>
  <c r="Q12" i="1"/>
  <c r="P12" i="1"/>
  <c r="N12" i="1"/>
  <c r="R12" i="1" s="1"/>
  <c r="L12" i="1"/>
  <c r="M12" i="1" s="1"/>
  <c r="O12" i="1" s="1"/>
  <c r="L25" i="13"/>
  <c r="M25" i="13" s="1"/>
  <c r="L11" i="13"/>
  <c r="M11" i="13" s="1"/>
  <c r="L19" i="13"/>
  <c r="M19" i="13" s="1"/>
  <c r="O19" i="13" s="1"/>
  <c r="L20" i="13"/>
  <c r="M20" i="13" s="1"/>
  <c r="L38" i="13"/>
  <c r="M38" i="13" s="1"/>
  <c r="L21" i="13"/>
  <c r="M21" i="13" s="1"/>
  <c r="L26" i="13"/>
  <c r="M26" i="13" s="1"/>
  <c r="O26" i="13" s="1"/>
  <c r="L33" i="13"/>
  <c r="M33" i="13" s="1"/>
  <c r="L12" i="13"/>
  <c r="M12" i="13" s="1"/>
  <c r="L22" i="13"/>
  <c r="M22" i="13" s="1"/>
  <c r="L13" i="13"/>
  <c r="M13" i="13" s="1"/>
  <c r="O13" i="13" s="1"/>
  <c r="L35" i="13"/>
  <c r="M35" i="13" s="1"/>
  <c r="L36" i="13"/>
  <c r="M36" i="13" s="1"/>
  <c r="L27" i="13"/>
  <c r="M27" i="13" s="1"/>
  <c r="L42" i="13"/>
  <c r="M42" i="13" s="1"/>
  <c r="O42" i="13" s="1"/>
  <c r="L28" i="13"/>
  <c r="M28" i="13" s="1"/>
  <c r="L43" i="13"/>
  <c r="L34" i="13"/>
  <c r="M34" i="13" s="1"/>
  <c r="L29" i="13"/>
  <c r="M29" i="13" s="1"/>
  <c r="O29" i="13" s="1"/>
  <c r="L30" i="13"/>
  <c r="M30" i="13" s="1"/>
  <c r="L14" i="13"/>
  <c r="M14" i="13" s="1"/>
  <c r="L39" i="13"/>
  <c r="M39" i="13" s="1"/>
  <c r="L15" i="13"/>
  <c r="M15" i="13" s="1"/>
  <c r="O15" i="13" s="1"/>
  <c r="L40" i="13"/>
  <c r="M40" i="13" s="1"/>
  <c r="L31" i="13"/>
  <c r="M31" i="13" s="1"/>
  <c r="L44" i="13"/>
  <c r="M44" i="13" s="1"/>
  <c r="L45" i="13"/>
  <c r="M45" i="13" s="1"/>
  <c r="O45" i="13" s="1"/>
  <c r="L32" i="13"/>
  <c r="M32" i="13" s="1"/>
  <c r="L37" i="13"/>
  <c r="M37" i="13" s="1"/>
  <c r="L16" i="13"/>
  <c r="M16" i="13" s="1"/>
  <c r="L46" i="13"/>
  <c r="M46" i="13" s="1"/>
  <c r="O46" i="13" s="1"/>
  <c r="L41" i="13"/>
  <c r="M41" i="13" s="1"/>
  <c r="L17" i="13"/>
  <c r="D14" i="16" s="1"/>
  <c r="L18" i="13"/>
  <c r="M18" i="13" s="1"/>
  <c r="L47" i="13"/>
  <c r="M47" i="13" s="1"/>
  <c r="O47" i="13" s="1"/>
  <c r="L23" i="13"/>
  <c r="M23" i="13" s="1"/>
  <c r="L24" i="13"/>
  <c r="M24" i="13" s="1"/>
  <c r="L41" i="1"/>
  <c r="M41" i="1" s="1"/>
  <c r="O41" i="1" s="1"/>
  <c r="N41" i="1"/>
  <c r="P41" i="1"/>
  <c r="Q41" i="1"/>
  <c r="C49" i="33"/>
  <c r="C48" i="33"/>
  <c r="C47" i="33"/>
  <c r="C46" i="33"/>
  <c r="S12" i="33"/>
  <c r="S13" i="33"/>
  <c r="S14" i="33"/>
  <c r="S15" i="33"/>
  <c r="S16" i="33"/>
  <c r="S17" i="33"/>
  <c r="S18" i="33"/>
  <c r="S19" i="33"/>
  <c r="S20" i="33"/>
  <c r="S21" i="33"/>
  <c r="S22" i="33"/>
  <c r="S23" i="33"/>
  <c r="S24" i="33"/>
  <c r="S25" i="33"/>
  <c r="S26" i="33"/>
  <c r="S27" i="33"/>
  <c r="S28" i="33"/>
  <c r="S29" i="33"/>
  <c r="S30" i="33"/>
  <c r="S31" i="33"/>
  <c r="S32" i="33"/>
  <c r="S33" i="33"/>
  <c r="S34" i="33"/>
  <c r="S35" i="33"/>
  <c r="S36" i="33"/>
  <c r="S37" i="33"/>
  <c r="S38" i="33"/>
  <c r="S39" i="33"/>
  <c r="S40" i="33"/>
  <c r="S41" i="33"/>
  <c r="S11" i="33"/>
  <c r="Q41" i="33"/>
  <c r="P41" i="33"/>
  <c r="N41" i="33"/>
  <c r="R41" i="33" s="1"/>
  <c r="L41" i="33"/>
  <c r="M41" i="33" s="1"/>
  <c r="Q40" i="33"/>
  <c r="P40" i="33"/>
  <c r="N40" i="33"/>
  <c r="O40" i="33" s="1"/>
  <c r="M40" i="33"/>
  <c r="L40" i="33"/>
  <c r="Q39" i="33"/>
  <c r="P39" i="33"/>
  <c r="N39" i="33"/>
  <c r="R39" i="33" s="1"/>
  <c r="M39" i="33"/>
  <c r="O39" i="33" s="1"/>
  <c r="L39" i="33"/>
  <c r="Q38" i="33"/>
  <c r="P38" i="33"/>
  <c r="N38" i="33"/>
  <c r="R38" i="33" s="1"/>
  <c r="L38" i="33"/>
  <c r="M38" i="33" s="1"/>
  <c r="O38" i="33" s="1"/>
  <c r="Q37" i="33"/>
  <c r="P37" i="33"/>
  <c r="O37" i="33"/>
  <c r="N37" i="33"/>
  <c r="R37" i="33" s="1"/>
  <c r="M37" i="33"/>
  <c r="L37" i="33"/>
  <c r="Q36" i="33"/>
  <c r="P36" i="33"/>
  <c r="N36" i="33"/>
  <c r="R36" i="33" s="1"/>
  <c r="M36" i="33"/>
  <c r="L36" i="33"/>
  <c r="Q35" i="33"/>
  <c r="P35" i="33"/>
  <c r="N35" i="33"/>
  <c r="R35" i="33" s="1"/>
  <c r="M35" i="33"/>
  <c r="O35" i="33" s="1"/>
  <c r="L35" i="33"/>
  <c r="Q34" i="33"/>
  <c r="P34" i="33"/>
  <c r="N34" i="33"/>
  <c r="R34" i="33" s="1"/>
  <c r="L34" i="33"/>
  <c r="M34" i="33" s="1"/>
  <c r="O34" i="33" s="1"/>
  <c r="Q33" i="33"/>
  <c r="P33" i="33"/>
  <c r="N33" i="33"/>
  <c r="R33" i="33" s="1"/>
  <c r="L33" i="33"/>
  <c r="M33" i="33" s="1"/>
  <c r="O33" i="33" s="1"/>
  <c r="Q32" i="33"/>
  <c r="P32" i="33"/>
  <c r="N32" i="33"/>
  <c r="R32" i="33" s="1"/>
  <c r="M32" i="33"/>
  <c r="L32" i="33"/>
  <c r="Q31" i="33"/>
  <c r="P31" i="33"/>
  <c r="N31" i="33"/>
  <c r="O31" i="33" s="1"/>
  <c r="M31" i="33"/>
  <c r="L31" i="33"/>
  <c r="Q30" i="33"/>
  <c r="P30" i="33"/>
  <c r="N30" i="33"/>
  <c r="R30" i="33" s="1"/>
  <c r="L30" i="33"/>
  <c r="M30" i="33" s="1"/>
  <c r="O30" i="33" s="1"/>
  <c r="Q29" i="33"/>
  <c r="P29" i="33"/>
  <c r="N29" i="33"/>
  <c r="R29" i="33" s="1"/>
  <c r="L29" i="33"/>
  <c r="M29" i="33" s="1"/>
  <c r="O29" i="33" s="1"/>
  <c r="Q28" i="33"/>
  <c r="P28" i="33"/>
  <c r="N28" i="33"/>
  <c r="O28" i="33" s="1"/>
  <c r="M28" i="33"/>
  <c r="L28" i="33"/>
  <c r="Q27" i="33"/>
  <c r="P27" i="33"/>
  <c r="N27" i="33"/>
  <c r="O27" i="33" s="1"/>
  <c r="M27" i="33"/>
  <c r="L27" i="33"/>
  <c r="Q26" i="33"/>
  <c r="P26" i="33"/>
  <c r="N26" i="33"/>
  <c r="R26" i="33" s="1"/>
  <c r="L26" i="33"/>
  <c r="M26" i="33" s="1"/>
  <c r="O26" i="33" s="1"/>
  <c r="Q25" i="33"/>
  <c r="P25" i="33"/>
  <c r="N25" i="33"/>
  <c r="R25" i="33" s="1"/>
  <c r="L25" i="33"/>
  <c r="M25" i="33" s="1"/>
  <c r="O25" i="33" s="1"/>
  <c r="Q24" i="33"/>
  <c r="P24" i="33"/>
  <c r="N24" i="33"/>
  <c r="R24" i="33" s="1"/>
  <c r="M24" i="33"/>
  <c r="L24" i="33"/>
  <c r="Q23" i="33"/>
  <c r="P23" i="33"/>
  <c r="N23" i="33"/>
  <c r="O23" i="33" s="1"/>
  <c r="M23" i="33"/>
  <c r="L23" i="33"/>
  <c r="Q22" i="33"/>
  <c r="P22" i="33"/>
  <c r="N22" i="33"/>
  <c r="R22" i="33" s="1"/>
  <c r="L22" i="33"/>
  <c r="M22" i="33" s="1"/>
  <c r="O22" i="33" s="1"/>
  <c r="Q21" i="33"/>
  <c r="P21" i="33"/>
  <c r="N21" i="33"/>
  <c r="R21" i="33" s="1"/>
  <c r="L21" i="33"/>
  <c r="M21" i="33" s="1"/>
  <c r="O21" i="33" s="1"/>
  <c r="Q20" i="33"/>
  <c r="P20" i="33"/>
  <c r="N20" i="33"/>
  <c r="R20" i="33" s="1"/>
  <c r="L20" i="33"/>
  <c r="M20" i="33" s="1"/>
  <c r="Q19" i="33"/>
  <c r="P19" i="33"/>
  <c r="N19" i="33"/>
  <c r="O19" i="33" s="1"/>
  <c r="M19" i="33"/>
  <c r="L19" i="33"/>
  <c r="Q18" i="33"/>
  <c r="P18" i="33"/>
  <c r="N18" i="33"/>
  <c r="O18" i="33" s="1"/>
  <c r="L18" i="33"/>
  <c r="M18" i="33" s="1"/>
  <c r="Q17" i="33"/>
  <c r="P17" i="33"/>
  <c r="N17" i="33"/>
  <c r="R17" i="33" s="1"/>
  <c r="L17" i="33"/>
  <c r="M17" i="33" s="1"/>
  <c r="O17" i="33" s="1"/>
  <c r="Q16" i="33"/>
  <c r="P16" i="33"/>
  <c r="N16" i="33"/>
  <c r="O16" i="33" s="1"/>
  <c r="L16" i="33"/>
  <c r="M16" i="33" s="1"/>
  <c r="Q15" i="33"/>
  <c r="P15" i="33"/>
  <c r="N15" i="33"/>
  <c r="R15" i="33" s="1"/>
  <c r="M15" i="33"/>
  <c r="O15" i="33" s="1"/>
  <c r="L15" i="33"/>
  <c r="Q14" i="33"/>
  <c r="P14" i="33"/>
  <c r="N14" i="33"/>
  <c r="L14" i="33"/>
  <c r="M14" i="33" s="1"/>
  <c r="Q13" i="33"/>
  <c r="P13" i="33"/>
  <c r="N13" i="33"/>
  <c r="R13" i="33" s="1"/>
  <c r="L13" i="33"/>
  <c r="M13" i="33" s="1"/>
  <c r="O13" i="33" s="1"/>
  <c r="Q12" i="33"/>
  <c r="P12" i="33"/>
  <c r="N12" i="33"/>
  <c r="R12" i="33" s="1"/>
  <c r="L12" i="33"/>
  <c r="M12" i="33" s="1"/>
  <c r="Q11" i="33"/>
  <c r="P11" i="33"/>
  <c r="N11" i="33"/>
  <c r="R11" i="33" s="1"/>
  <c r="M11" i="33"/>
  <c r="O11" i="33" s="1"/>
  <c r="L11" i="33"/>
  <c r="R49" i="55" l="1"/>
  <c r="R48" i="55"/>
  <c r="O48" i="55"/>
  <c r="O47" i="55"/>
  <c r="O49" i="55"/>
  <c r="O38" i="50"/>
  <c r="O39" i="50"/>
  <c r="N47" i="50"/>
  <c r="O14" i="50"/>
  <c r="O15" i="50"/>
  <c r="O22" i="50"/>
  <c r="O23" i="50"/>
  <c r="O30" i="50"/>
  <c r="O31" i="50"/>
  <c r="R18" i="50"/>
  <c r="R19" i="50"/>
  <c r="R25" i="50"/>
  <c r="R27" i="50"/>
  <c r="R34" i="50"/>
  <c r="R35" i="50"/>
  <c r="R41" i="50"/>
  <c r="O12" i="50"/>
  <c r="O20" i="50"/>
  <c r="O28" i="50"/>
  <c r="O36" i="50"/>
  <c r="N49" i="50"/>
  <c r="R14" i="50"/>
  <c r="R15" i="50"/>
  <c r="R21" i="50"/>
  <c r="R22" i="50"/>
  <c r="R23" i="50"/>
  <c r="O29" i="50"/>
  <c r="R30" i="50"/>
  <c r="R31" i="50"/>
  <c r="O37" i="50"/>
  <c r="R38" i="50"/>
  <c r="R39" i="50"/>
  <c r="O17" i="50"/>
  <c r="R26" i="50"/>
  <c r="R33" i="50"/>
  <c r="O11" i="50"/>
  <c r="O16" i="50"/>
  <c r="O18" i="50"/>
  <c r="O19" i="50"/>
  <c r="O24" i="50"/>
  <c r="O26" i="50"/>
  <c r="O27" i="50"/>
  <c r="O32" i="50"/>
  <c r="O34" i="50"/>
  <c r="O35" i="50"/>
  <c r="O40" i="50"/>
  <c r="R36" i="43"/>
  <c r="R11" i="43"/>
  <c r="O12" i="43"/>
  <c r="R15" i="43"/>
  <c r="O16" i="43"/>
  <c r="R19" i="43"/>
  <c r="O20" i="43"/>
  <c r="R23" i="43"/>
  <c r="O24" i="43"/>
  <c r="R27" i="43"/>
  <c r="O28" i="43"/>
  <c r="R31" i="43"/>
  <c r="O32" i="43"/>
  <c r="R35" i="43"/>
  <c r="R39" i="43"/>
  <c r="O40" i="43"/>
  <c r="R17" i="50"/>
  <c r="R37" i="50"/>
  <c r="R12" i="50"/>
  <c r="O13" i="50"/>
  <c r="R16" i="50"/>
  <c r="R20" i="50"/>
  <c r="O21" i="50"/>
  <c r="R24" i="50"/>
  <c r="O25" i="50"/>
  <c r="R28" i="50"/>
  <c r="R32" i="50"/>
  <c r="O33" i="50"/>
  <c r="R36" i="50"/>
  <c r="R40" i="50"/>
  <c r="O41" i="50"/>
  <c r="O46" i="50"/>
  <c r="P47" i="50"/>
  <c r="N48" i="50"/>
  <c r="R13" i="50"/>
  <c r="R29" i="50"/>
  <c r="R11" i="50"/>
  <c r="P49" i="50"/>
  <c r="O32" i="47"/>
  <c r="O25" i="47"/>
  <c r="O29" i="47"/>
  <c r="O21" i="47"/>
  <c r="O33" i="47"/>
  <c r="O41" i="47"/>
  <c r="P48" i="47"/>
  <c r="O13" i="47"/>
  <c r="O16" i="47"/>
  <c r="O18" i="47"/>
  <c r="O19" i="47"/>
  <c r="O30" i="47"/>
  <c r="O31" i="47"/>
  <c r="O36" i="47"/>
  <c r="O39" i="47"/>
  <c r="R12" i="47"/>
  <c r="O38" i="47"/>
  <c r="O17" i="47"/>
  <c r="R19" i="47"/>
  <c r="R31" i="47"/>
  <c r="R39" i="47"/>
  <c r="R20" i="47"/>
  <c r="R26" i="47"/>
  <c r="R40" i="47"/>
  <c r="R13" i="47"/>
  <c r="R14" i="47"/>
  <c r="R15" i="47"/>
  <c r="R22" i="47"/>
  <c r="R23" i="47"/>
  <c r="R27" i="47"/>
  <c r="R34" i="47"/>
  <c r="R35" i="47"/>
  <c r="R18" i="47"/>
  <c r="R30" i="47"/>
  <c r="R38" i="47"/>
  <c r="N47" i="47"/>
  <c r="R16" i="47"/>
  <c r="R24" i="47"/>
  <c r="R28" i="47"/>
  <c r="R17" i="47"/>
  <c r="R21" i="47"/>
  <c r="R25" i="47"/>
  <c r="R29" i="47"/>
  <c r="R33" i="47"/>
  <c r="R37" i="47"/>
  <c r="R41" i="47"/>
  <c r="N49" i="47"/>
  <c r="R32" i="47"/>
  <c r="R36" i="47"/>
  <c r="O46" i="47"/>
  <c r="P47" i="47"/>
  <c r="N48" i="47"/>
  <c r="R11" i="47"/>
  <c r="P49" i="47"/>
  <c r="R13" i="46"/>
  <c r="R17" i="46"/>
  <c r="R21" i="46"/>
  <c r="R18" i="46"/>
  <c r="R27" i="46"/>
  <c r="R28" i="46"/>
  <c r="R39" i="46"/>
  <c r="R40" i="46"/>
  <c r="R35" i="46"/>
  <c r="R36" i="46"/>
  <c r="G54" i="46"/>
  <c r="R22" i="46"/>
  <c r="R26" i="46"/>
  <c r="R30" i="46"/>
  <c r="R34" i="46"/>
  <c r="R38" i="46"/>
  <c r="N47" i="46"/>
  <c r="O14" i="46"/>
  <c r="O48" i="46" s="1"/>
  <c r="R25" i="46"/>
  <c r="R33" i="46"/>
  <c r="R37" i="46"/>
  <c r="R41" i="46"/>
  <c r="O47" i="46"/>
  <c r="N49" i="46"/>
  <c r="R14" i="46"/>
  <c r="O46" i="46"/>
  <c r="P47" i="46"/>
  <c r="N48" i="46"/>
  <c r="O49" i="46"/>
  <c r="R11" i="46"/>
  <c r="R35" i="45"/>
  <c r="R15" i="45"/>
  <c r="R12" i="45"/>
  <c r="R16" i="45"/>
  <c r="R20" i="45"/>
  <c r="R19" i="45"/>
  <c r="R24" i="45"/>
  <c r="R31" i="45"/>
  <c r="R41" i="45"/>
  <c r="R23" i="45"/>
  <c r="R27" i="45"/>
  <c r="R37" i="45"/>
  <c r="R28" i="45"/>
  <c r="R33" i="45"/>
  <c r="R39" i="45"/>
  <c r="O36" i="45"/>
  <c r="G54" i="45"/>
  <c r="O32" i="45"/>
  <c r="O38" i="45"/>
  <c r="O49" i="45" s="1"/>
  <c r="O34" i="45"/>
  <c r="R14" i="45"/>
  <c r="R30" i="45"/>
  <c r="R34" i="45"/>
  <c r="R38" i="45"/>
  <c r="N47" i="45"/>
  <c r="R22" i="45"/>
  <c r="R26" i="45"/>
  <c r="O18" i="45"/>
  <c r="O48" i="45" s="1"/>
  <c r="N49" i="45"/>
  <c r="R32" i="45"/>
  <c r="R36" i="45"/>
  <c r="R40" i="45"/>
  <c r="O46" i="45"/>
  <c r="P47" i="45"/>
  <c r="N48" i="45"/>
  <c r="R11" i="45"/>
  <c r="D18" i="16"/>
  <c r="M17" i="13"/>
  <c r="R24" i="13"/>
  <c r="D16" i="16"/>
  <c r="R23" i="13"/>
  <c r="R41" i="13"/>
  <c r="R32" i="13"/>
  <c r="R40" i="13"/>
  <c r="R30" i="13"/>
  <c r="R28" i="13"/>
  <c r="R35" i="13"/>
  <c r="R33" i="13"/>
  <c r="R20" i="13"/>
  <c r="P52" i="13"/>
  <c r="R16" i="13"/>
  <c r="R39" i="13"/>
  <c r="R27" i="13"/>
  <c r="R21" i="13"/>
  <c r="P53" i="13"/>
  <c r="R37" i="13"/>
  <c r="R31" i="13"/>
  <c r="R14" i="13"/>
  <c r="R43" i="13"/>
  <c r="R36" i="13"/>
  <c r="R12" i="13"/>
  <c r="R38" i="13"/>
  <c r="R25" i="13"/>
  <c r="C22" i="14"/>
  <c r="D10" i="18"/>
  <c r="O18" i="13"/>
  <c r="O44" i="13"/>
  <c r="O34" i="13"/>
  <c r="O22" i="13"/>
  <c r="R46" i="13"/>
  <c r="R15" i="13"/>
  <c r="R42" i="13"/>
  <c r="R13" i="13"/>
  <c r="R19" i="13"/>
  <c r="O16" i="13"/>
  <c r="O39" i="13"/>
  <c r="O27" i="13"/>
  <c r="O21" i="13"/>
  <c r="O11" i="13"/>
  <c r="R18" i="13"/>
  <c r="R44" i="13"/>
  <c r="R34" i="13"/>
  <c r="R22" i="13"/>
  <c r="R11" i="13"/>
  <c r="N53" i="13"/>
  <c r="O24" i="13"/>
  <c r="O37" i="13"/>
  <c r="O31" i="13"/>
  <c r="O14" i="13"/>
  <c r="O43" i="13"/>
  <c r="O36" i="13"/>
  <c r="O12" i="13"/>
  <c r="O38" i="13"/>
  <c r="O25" i="13"/>
  <c r="R17" i="13"/>
  <c r="N52" i="13"/>
  <c r="N54" i="13"/>
  <c r="P54" i="13"/>
  <c r="D10" i="17"/>
  <c r="C5" i="14"/>
  <c r="R47" i="13"/>
  <c r="R45" i="13"/>
  <c r="R29" i="13"/>
  <c r="R26" i="13"/>
  <c r="O23" i="13"/>
  <c r="O41" i="13"/>
  <c r="O32" i="13"/>
  <c r="O40" i="13"/>
  <c r="O30" i="13"/>
  <c r="O28" i="13"/>
  <c r="O35" i="13"/>
  <c r="O33" i="13"/>
  <c r="O20" i="13"/>
  <c r="D12" i="17"/>
  <c r="D8" i="18"/>
  <c r="O14" i="33"/>
  <c r="R40" i="33"/>
  <c r="O41" i="33"/>
  <c r="R16" i="33"/>
  <c r="R28" i="33"/>
  <c r="O12" i="33"/>
  <c r="R19" i="33"/>
  <c r="O20" i="33"/>
  <c r="R23" i="33"/>
  <c r="O24" i="33"/>
  <c r="R27" i="33"/>
  <c r="R31" i="33"/>
  <c r="O32" i="33"/>
  <c r="O36" i="33"/>
  <c r="R14" i="33"/>
  <c r="R18" i="33"/>
  <c r="O47" i="50" l="1"/>
  <c r="R49" i="50"/>
  <c r="R48" i="50"/>
  <c r="O49" i="50"/>
  <c r="O48" i="50"/>
  <c r="O48" i="47"/>
  <c r="O47" i="47"/>
  <c r="O49" i="47"/>
  <c r="R49" i="47"/>
  <c r="R48" i="47"/>
  <c r="R48" i="46"/>
  <c r="R49" i="46"/>
  <c r="O47" i="45"/>
  <c r="R48" i="45"/>
  <c r="R49" i="45"/>
  <c r="O51" i="13"/>
  <c r="O17" i="13"/>
  <c r="D12" i="16"/>
  <c r="D8" i="17"/>
  <c r="C11" i="14"/>
  <c r="O53" i="13"/>
  <c r="O52" i="13"/>
  <c r="O54" i="13"/>
  <c r="J49" i="1"/>
  <c r="J48" i="1"/>
  <c r="K49" i="1"/>
  <c r="K48" i="1"/>
  <c r="G49" i="1"/>
  <c r="G48" i="1"/>
  <c r="G47"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11"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11" i="1"/>
  <c r="N13" i="1"/>
  <c r="N14" i="1"/>
  <c r="N15" i="1"/>
  <c r="N16" i="1"/>
  <c r="N17" i="1"/>
  <c r="N18" i="1"/>
  <c r="N19" i="1"/>
  <c r="N20" i="1"/>
  <c r="N21" i="1"/>
  <c r="N23" i="1"/>
  <c r="N24" i="1"/>
  <c r="N25" i="1"/>
  <c r="N26" i="1"/>
  <c r="N27" i="1"/>
  <c r="N28" i="1"/>
  <c r="N29" i="1"/>
  <c r="N30" i="1"/>
  <c r="N31" i="1"/>
  <c r="N32" i="1"/>
  <c r="N33" i="1"/>
  <c r="N34" i="1"/>
  <c r="N35" i="1"/>
  <c r="N36" i="1"/>
  <c r="N37" i="1"/>
  <c r="N38" i="1"/>
  <c r="N39" i="1"/>
  <c r="R39" i="1" s="1"/>
  <c r="N40" i="1"/>
  <c r="N11" i="1"/>
  <c r="M17" i="1"/>
  <c r="M33" i="1"/>
  <c r="L13" i="1"/>
  <c r="M13" i="1" s="1"/>
  <c r="L14" i="1"/>
  <c r="M14" i="1" s="1"/>
  <c r="L15" i="1"/>
  <c r="M15" i="1" s="1"/>
  <c r="L16" i="1"/>
  <c r="M16" i="1" s="1"/>
  <c r="L17" i="1"/>
  <c r="L18" i="1"/>
  <c r="M18" i="1" s="1"/>
  <c r="L19" i="1"/>
  <c r="M19" i="1" s="1"/>
  <c r="L20" i="1"/>
  <c r="M20" i="1" s="1"/>
  <c r="L21" i="1"/>
  <c r="M21" i="1" s="1"/>
  <c r="L22" i="1"/>
  <c r="M22" i="1" s="1"/>
  <c r="L23" i="1"/>
  <c r="M23" i="1" s="1"/>
  <c r="L24" i="1"/>
  <c r="M24" i="1" s="1"/>
  <c r="L25" i="1"/>
  <c r="M25" i="1" s="1"/>
  <c r="L26" i="1"/>
  <c r="M26" i="1" s="1"/>
  <c r="L27" i="1"/>
  <c r="M27" i="1" s="1"/>
  <c r="L28" i="1"/>
  <c r="M28" i="1" s="1"/>
  <c r="L29" i="1"/>
  <c r="M29" i="1" s="1"/>
  <c r="L30" i="1"/>
  <c r="M30" i="1" s="1"/>
  <c r="L31" i="1"/>
  <c r="M31" i="1" s="1"/>
  <c r="L32" i="1"/>
  <c r="M32" i="1" s="1"/>
  <c r="L33" i="1"/>
  <c r="L34" i="1"/>
  <c r="M34" i="1" s="1"/>
  <c r="L35" i="1"/>
  <c r="M35" i="1" s="1"/>
  <c r="L36" i="1"/>
  <c r="M36" i="1" s="1"/>
  <c r="L37" i="1"/>
  <c r="M37" i="1" s="1"/>
  <c r="L38" i="1"/>
  <c r="M38" i="1" s="1"/>
  <c r="L39" i="1"/>
  <c r="M39" i="1" s="1"/>
  <c r="L40" i="1"/>
  <c r="M40" i="1" s="1"/>
  <c r="L11" i="1"/>
  <c r="M11" i="1" s="1"/>
  <c r="R35" i="1" l="1"/>
  <c r="R27" i="1"/>
  <c r="R19" i="1"/>
  <c r="N49" i="1"/>
  <c r="R37" i="1"/>
  <c r="R33" i="1"/>
  <c r="R29" i="1"/>
  <c r="R25" i="1"/>
  <c r="R21" i="1"/>
  <c r="R17" i="1"/>
  <c r="R13" i="1"/>
  <c r="R31" i="1"/>
  <c r="R23" i="1"/>
  <c r="R15" i="1"/>
  <c r="P48" i="1"/>
  <c r="O39" i="1"/>
  <c r="O35" i="1"/>
  <c r="O31" i="1"/>
  <c r="O27" i="1"/>
  <c r="O23" i="1"/>
  <c r="O19" i="1"/>
  <c r="O15" i="1"/>
  <c r="P49" i="1"/>
  <c r="O38" i="1"/>
  <c r="O34" i="1"/>
  <c r="O30" i="1"/>
  <c r="O26" i="1"/>
  <c r="O22" i="1"/>
  <c r="B28" i="44" s="1"/>
  <c r="O18" i="1"/>
  <c r="O14" i="1"/>
  <c r="O40" i="1"/>
  <c r="O36" i="1"/>
  <c r="O32" i="1"/>
  <c r="O28" i="1"/>
  <c r="O24" i="1"/>
  <c r="O20" i="1"/>
  <c r="O16" i="1"/>
  <c r="R34" i="1"/>
  <c r="O11" i="1"/>
  <c r="O37" i="1"/>
  <c r="O33" i="1"/>
  <c r="O29" i="1"/>
  <c r="O25" i="1"/>
  <c r="O21" i="1"/>
  <c r="O17" i="1"/>
  <c r="O13" i="1"/>
  <c r="R40" i="1"/>
  <c r="R36" i="1"/>
  <c r="R32" i="1"/>
  <c r="R28" i="1"/>
  <c r="R24" i="1"/>
  <c r="R20" i="1"/>
  <c r="R16" i="1"/>
  <c r="N48" i="1"/>
  <c r="P47" i="1"/>
  <c r="R38" i="1"/>
  <c r="R30" i="1"/>
  <c r="R26" i="1"/>
  <c r="R22" i="1"/>
  <c r="R18" i="1"/>
  <c r="R49" i="1" s="1"/>
  <c r="R14" i="1"/>
  <c r="O46" i="1"/>
  <c r="R41" i="1"/>
  <c r="N47" i="1"/>
  <c r="O48" i="1" l="1"/>
  <c r="O47" i="1"/>
  <c r="O49" i="1"/>
  <c r="R48"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4" refreshedVersion="2" background="1" saveData="1">
    <webPr parsePre="1" consecutive="1" xl2000="1" url="http://moneycentral.msn.com/investor/external/excel/quotes.asp?SYMBOL=[&quot;QUOTE&quot;,&quot;Enter stock, fund or other MSN MoneyCentral Investor symbols separated by commas.&quot;]" htmlFormat="all"/>
    <parameters count="1">
      <parameter name="QUOTE" prompt="Enter stock, fund or other MSN MoneyCentral Investor symbols separated by commas."/>
    </parameters>
  </connection>
  <connection id="2" xr16:uid="{00000000-0015-0000-FFFF-FFFF01000000}" odcFile="C:\Program Files\Microsoft Office\Office14\QUERIES\MSN MoneyCentral Investor Stock Quotes.iqy" name="MSN MoneyCentral Investor Stock Quotes" type="4" refreshedVersion="4" background="1" saveData="1">
    <webPr parsePre="1" consecutive="1" xl2000="1" url="http://moneycentral.msn.com/investor/external/excel/quotes.asp?SYMBOL=[&quot;QUOTE&quot;,&quot;Enter stock, fund or other MSN MoneyCentral Investor symbols separated by commas.&quot;]" htmlFormat="all"/>
    <parameters count="1">
      <parameter name="QUOTE" prompt="Enter stock, fund or other MSN MoneyCentral Investor symbols separated by commas."/>
    </parameters>
  </connection>
  <connection id="3" xr16:uid="{00000000-0015-0000-FFFF-FFFF02000000}" odcFile="C:\Program Files\Microsoft Office\Office14\QUERIES\MSN MoneyCentral Investor Stock Quotes.iqy" name="MSN MoneyCentral Investor Stock Quotes1" type="4" refreshedVersion="4" background="1" saveData="1">
    <webPr parsePre="1" consecutive="1" xl2000="1" url="http://moneycentral.msn.com/investor/external/excel/quotes.asp?SYMBOL=[&quot;QUOTE&quot;,&quot;Enter stock, fund or other MSN MoneyCentral Investor symbols separated by commas.&quot;]" htmlFormat="all"/>
    <parameters count="1">
      <parameter name="QUOTE" prompt="Enter stock, fund or other MSN MoneyCentral Investor symbols separated by commas."/>
    </parameters>
  </connection>
  <connection id="4" xr16:uid="{00000000-0015-0000-FFFF-FFFF03000000}" odcFile="C:\Program Files\Microsoft Office\Office14\QUERIES\MSN MoneyCentral Investor Stock Quotes.iqy" name="MSN MoneyCentral Investor Stock Quotes3" type="4" refreshedVersion="4" background="1" saveData="1">
    <webPr parsePre="1" consecutive="1" xl2000="1" url="http://moneycentral.msn.com/investor/external/excel/quotes.asp?SYMBOL=[&quot;QUOTE&quot;,&quot;Enter stock, fund or other MSN MoneyCentral Investor symbols separated by commas.&quot;]" htmlFormat="all"/>
    <parameters count="1">
      <parameter name="QUOTE" prompt="Enter stock, fund or other MSN MoneyCentral Investor symbols separated by commas."/>
    </parameters>
  </connection>
  <connection id="5" xr16:uid="{00000000-0015-0000-FFFF-FFFF04000000}" odcFile="C:\Program Files\Microsoft Office\Office14\QUERIES\MSN MoneyCentral Investor Stock Quotes.iqy" name="MSN MoneyCentral Investor Stock Quotes4" type="4" refreshedVersion="4" background="1">
    <webPr parsePre="1" consecutive="1" xl2000="1" url="http://moneycentral.msn.com/investor/external/excel/quotes.asp?SYMBOL=[&quot;QUOTE&quot;,&quot;Enter stock, fund or other MSN MoneyCentral Investor symbols separated by commas.&quot;]" htmlFormat="all"/>
    <parameters count="1">
      <parameter name="QUOTE" prompt="Enter stock, fund or other MSN MoneyCentral Investor symbols separated by commas."/>
    </parameter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<sst xmlns="http://schemas.openxmlformats.org/spreadsheetml/2006/main" count="3238" uniqueCount="456">
  <si>
    <t>Symbol</t>
  </si>
  <si>
    <t>Company</t>
  </si>
  <si>
    <t>Industry</t>
  </si>
  <si>
    <t>Shares Purchased</t>
  </si>
  <si>
    <t>Purchase Date</t>
  </si>
  <si>
    <t>Purchase Price</t>
  </si>
  <si>
    <t>Aerospace/Defense</t>
  </si>
  <si>
    <t>Foods</t>
  </si>
  <si>
    <t>Oil &amp; Gas</t>
  </si>
  <si>
    <t>Leisure Time</t>
  </si>
  <si>
    <t>Computers</t>
  </si>
  <si>
    <t>Manufacturing</t>
  </si>
  <si>
    <t>Health Care</t>
  </si>
  <si>
    <t>Retail</t>
  </si>
  <si>
    <t>Insurance</t>
  </si>
  <si>
    <t>Iron and Steel</t>
  </si>
  <si>
    <t>Market Capital</t>
  </si>
  <si>
    <t>Last Price</t>
  </si>
  <si>
    <t>Previous Close</t>
  </si>
  <si>
    <t>Earnings Per Share</t>
  </si>
  <si>
    <t>Commission</t>
  </si>
  <si>
    <t>Total Cost</t>
  </si>
  <si>
    <t>Portfolio Percentage</t>
  </si>
  <si>
    <t>Current Value</t>
  </si>
  <si>
    <t>Return</t>
  </si>
  <si>
    <t>P/E Ratio</t>
  </si>
  <si>
    <t>Capitalizataion Level</t>
  </si>
  <si>
    <t>Summary Information</t>
  </si>
  <si>
    <t>Total</t>
  </si>
  <si>
    <t>Average</t>
  </si>
  <si>
    <t>Maximum</t>
  </si>
  <si>
    <t>Minimum</t>
  </si>
  <si>
    <t>Information Specification Questions 1 Through 4</t>
  </si>
  <si>
    <r>
      <t>ISQ3</t>
    </r>
    <r>
      <rPr>
        <sz val="12"/>
        <color indexed="8"/>
        <rFont val="Arial"/>
        <family val="2"/>
      </rPr>
      <t xml:space="preserve"> – </t>
    </r>
    <r>
      <rPr>
        <b/>
        <sz val="12"/>
        <color indexed="8"/>
        <rFont val="Arial"/>
        <family val="2"/>
      </rPr>
      <t>Identify which stock has the Highest P/E Ratio</t>
    </r>
  </si>
  <si>
    <r>
      <t>ISQ4</t>
    </r>
    <r>
      <rPr>
        <sz val="12"/>
        <color indexed="8"/>
        <rFont val="Arial"/>
        <family val="2"/>
      </rPr>
      <t xml:space="preserve"> – </t>
    </r>
    <r>
      <rPr>
        <b/>
        <sz val="12"/>
        <color indexed="8"/>
        <rFont val="Arial"/>
        <family val="2"/>
      </rPr>
      <t>Identify which stock has the Highest Previous Close</t>
    </r>
  </si>
  <si>
    <r>
      <t>ISQ4</t>
    </r>
    <r>
      <rPr>
        <sz val="12"/>
        <color indexed="8"/>
        <rFont val="Arial"/>
        <family val="2"/>
      </rPr>
      <t xml:space="preserve"> – </t>
    </r>
    <r>
      <rPr>
        <b/>
        <sz val="12"/>
        <color indexed="8"/>
        <rFont val="Arial"/>
        <family val="2"/>
      </rPr>
      <t>Identify which stock has the Lowest Previous Close</t>
    </r>
  </si>
  <si>
    <t>Testing Your Design Question 2</t>
  </si>
  <si>
    <t>Average P/E Ratio</t>
  </si>
  <si>
    <t>Average Commission</t>
  </si>
  <si>
    <t>Average Current Value</t>
  </si>
  <si>
    <t>Information on Stocks Recently Purchased</t>
  </si>
  <si>
    <t>Highest P/E Ratio</t>
  </si>
  <si>
    <t>Create a Pivot Table</t>
  </si>
  <si>
    <t xml:space="preserve"> </t>
  </si>
  <si>
    <t>CAG</t>
  </si>
  <si>
    <t>DO</t>
  </si>
  <si>
    <t>Highest % Return</t>
  </si>
  <si>
    <t>Lowest % Return</t>
  </si>
  <si>
    <t>Highest (Market) Current Value</t>
  </si>
  <si>
    <t>Lowest (Market) Current Value</t>
  </si>
  <si>
    <t>YGE</t>
  </si>
  <si>
    <t>COST</t>
  </si>
  <si>
    <t>HPQ</t>
  </si>
  <si>
    <t>Stock Quotes Provided by MSN Money</t>
  </si>
  <si>
    <t>Click here to visit MSN Money</t>
  </si>
  <si>
    <t>Last</t>
  </si>
  <si>
    <t>High</t>
  </si>
  <si>
    <t>Low</t>
  </si>
  <si>
    <t>Volume</t>
  </si>
  <si>
    <t>Change</t>
  </si>
  <si>
    <t>% Change</t>
  </si>
  <si>
    <t>52 Wk High</t>
  </si>
  <si>
    <t>52 Wk Low</t>
  </si>
  <si>
    <t>Market Cap</t>
  </si>
  <si>
    <t>EPS</t>
  </si>
  <si>
    <t># Shares Out</t>
  </si>
  <si>
    <t xml:space="preserve">Rockwell Collins Inc </t>
  </si>
  <si>
    <t>Chart</t>
  </si>
  <si>
    <t>News</t>
  </si>
  <si>
    <t xml:space="preserve">Devon Energy Corp </t>
  </si>
  <si>
    <t xml:space="preserve">General Mills Inc </t>
  </si>
  <si>
    <t xml:space="preserve">International Business Machines Corp </t>
  </si>
  <si>
    <t xml:space="preserve">Johnson Controls Inc </t>
  </si>
  <si>
    <t xml:space="preserve">Johnson &amp; Johnson </t>
  </si>
  <si>
    <t xml:space="preserve">MBIA Inc </t>
  </si>
  <si>
    <t xml:space="preserve">Manulife Financial Corp </t>
  </si>
  <si>
    <t xml:space="preserve">Nabors Industries Ltd </t>
  </si>
  <si>
    <t xml:space="preserve">NCR Corp </t>
  </si>
  <si>
    <t xml:space="preserve">Progressive Corp </t>
  </si>
  <si>
    <t xml:space="preserve">United States Steel Corp </t>
  </si>
  <si>
    <t xml:space="preserve">ConAgra Foods Inc </t>
  </si>
  <si>
    <t xml:space="preserve">Diamond Offshore Drilling Inc </t>
  </si>
  <si>
    <t>Symbol Lookup</t>
  </si>
  <si>
    <t>MSN Money Home</t>
  </si>
  <si>
    <t>Microsoft Office Tools on the Web</t>
  </si>
  <si>
    <t>Find stocks, mutual funds, options, indices, and currencies.</t>
  </si>
  <si>
    <t>Discover MSN Money's tools, columns, and more!</t>
  </si>
  <si>
    <t>Get the latest from Microsoft Office</t>
  </si>
  <si>
    <t>Create subtotal of investment based on the type of industry</t>
  </si>
  <si>
    <t>ISQ1 - Identify the Most Expensive Stock (Total Purchase Price)</t>
  </si>
  <si>
    <t xml:space="preserve">COL </t>
  </si>
  <si>
    <t xml:space="preserve">CPB </t>
  </si>
  <si>
    <t xml:space="preserve">DVN </t>
  </si>
  <si>
    <t xml:space="preserve">GIS </t>
  </si>
  <si>
    <t xml:space="preserve">HAS </t>
  </si>
  <si>
    <t xml:space="preserve">HSY </t>
  </si>
  <si>
    <t xml:space="preserve">IBM </t>
  </si>
  <si>
    <t xml:space="preserve">ITT </t>
  </si>
  <si>
    <t xml:space="preserve">JCI </t>
  </si>
  <si>
    <t xml:space="preserve">JNJ </t>
  </si>
  <si>
    <t xml:space="preserve">KSS </t>
  </si>
  <si>
    <t xml:space="preserve">MAT </t>
  </si>
  <si>
    <t xml:space="preserve">MBI </t>
  </si>
  <si>
    <t xml:space="preserve">MFC </t>
  </si>
  <si>
    <t xml:space="preserve">NBR </t>
  </si>
  <si>
    <t xml:space="preserve">NCR </t>
  </si>
  <si>
    <t xml:space="preserve">NE </t>
  </si>
  <si>
    <t xml:space="preserve">PGR </t>
  </si>
  <si>
    <t xml:space="preserve">TJX </t>
  </si>
  <si>
    <t xml:space="preserve">WMT </t>
  </si>
  <si>
    <t xml:space="preserve">X </t>
  </si>
  <si>
    <t>Use this sheet information for Portfolio Return calculations</t>
  </si>
  <si>
    <t>Note: fill in the Summary details at the end of the table.</t>
  </si>
  <si>
    <t>Rank</t>
  </si>
  <si>
    <t>Rank1</t>
  </si>
  <si>
    <t>Rank2</t>
  </si>
  <si>
    <t>Rank3</t>
  </si>
  <si>
    <t>Rank4</t>
  </si>
  <si>
    <t>Rank5</t>
  </si>
  <si>
    <t>Name of the Stock</t>
  </si>
  <si>
    <r>
      <t>ISQ3</t>
    </r>
    <r>
      <rPr>
        <sz val="12"/>
        <color indexed="8"/>
        <rFont val="Arial"/>
        <family val="2"/>
      </rPr>
      <t xml:space="preserve"> – </t>
    </r>
    <r>
      <rPr>
        <b/>
        <sz val="12"/>
        <color indexed="8"/>
        <rFont val="Arial"/>
        <family val="2"/>
      </rPr>
      <t>Identify which stock has the Lowest P/E Ratio (use non-zero P/E ratio)</t>
    </r>
  </si>
  <si>
    <t>What is the Lowest Commission for all Stocks?</t>
  </si>
  <si>
    <t>LLY</t>
  </si>
  <si>
    <t xml:space="preserve">MSFT </t>
  </si>
  <si>
    <t>YHOO</t>
  </si>
  <si>
    <t xml:space="preserve">Yahoo! Inc </t>
  </si>
  <si>
    <t>Stocks Where Commission was 1 Percent</t>
  </si>
  <si>
    <t>Date</t>
  </si>
  <si>
    <t>Open</t>
  </si>
  <si>
    <t>Close</t>
  </si>
  <si>
    <t>Copyright © 2013 Microsoft. All rights reserved.</t>
  </si>
  <si>
    <t>Fundamental company data and historical chart data provided by Morningstar Inc. Real-time index quotes and delayed quotes supplied by Morningstar Inc. Quotes delayed by up to 15 minutes, except where indicated otherwise. Fund summary, fund performance and dividend data provided by Morningstar Inc. Analyst recommendations provided by Zacks Investment Research. StockScouter data provided by Verus Analytics. IPO data provided by Hoover's Inc. Index membership data provided by Morningstar Inc.</t>
  </si>
  <si>
    <t xml:space="preserve">Target Corp </t>
  </si>
  <si>
    <t>QCOM</t>
  </si>
  <si>
    <t>TGT</t>
  </si>
  <si>
    <t>Pie chart to show the percentage of investment based by Industries.</t>
  </si>
  <si>
    <t>Name</t>
  </si>
  <si>
    <t>Student ID</t>
  </si>
  <si>
    <t>Note: Remember to fill in the Summary details at the end of the table.</t>
  </si>
  <si>
    <t>Lowest Commission:</t>
  </si>
  <si>
    <t>Q#DS1</t>
  </si>
  <si>
    <t>Q#DS2</t>
  </si>
  <si>
    <t>Q#DS3</t>
  </si>
  <si>
    <t>Q#DS4</t>
  </si>
  <si>
    <t xml:space="preserve">Amgen Inc </t>
  </si>
  <si>
    <t xml:space="preserve">Campbell Soup Co </t>
  </si>
  <si>
    <t xml:space="preserve">Hasbro Inc </t>
  </si>
  <si>
    <t xml:space="preserve">HP Inc </t>
  </si>
  <si>
    <t xml:space="preserve">The Hershey Co </t>
  </si>
  <si>
    <t xml:space="preserve">ITT Corp </t>
  </si>
  <si>
    <t xml:space="preserve">Kohl's Corp </t>
  </si>
  <si>
    <t xml:space="preserve">Eli Lilly and Co </t>
  </si>
  <si>
    <t xml:space="preserve">Macy's Inc </t>
  </si>
  <si>
    <t xml:space="preserve">Mattel Inc </t>
  </si>
  <si>
    <t xml:space="preserve">Microsoft Corp </t>
  </si>
  <si>
    <t xml:space="preserve">Noble Corp PLC </t>
  </si>
  <si>
    <t xml:space="preserve">TJX Companies Inc </t>
  </si>
  <si>
    <t xml:space="preserve">Wal-Mart Stores Inc </t>
  </si>
  <si>
    <t xml:space="preserve">Yingli Green Energy Holding Co Ltd </t>
  </si>
  <si>
    <t xml:space="preserve">Costco Wholesale Corp </t>
  </si>
  <si>
    <t xml:space="preserve">eBay Inc </t>
  </si>
  <si>
    <t xml:space="preserve">Qualcomm Inc </t>
  </si>
  <si>
    <t xml:space="preserve">Whole Foods Market Inc </t>
  </si>
  <si>
    <t>EBAY</t>
  </si>
  <si>
    <t>WFM</t>
  </si>
  <si>
    <t>M</t>
  </si>
  <si>
    <t>STOCK SYMBOL</t>
  </si>
  <si>
    <t xml:space="preserve">MSFT  </t>
  </si>
  <si>
    <t xml:space="preserve">COL  </t>
  </si>
  <si>
    <t>SYMBOL</t>
  </si>
  <si>
    <t xml:space="preserve">Abbott Laboratories </t>
  </si>
  <si>
    <t>ABT</t>
  </si>
  <si>
    <t xml:space="preserve">GlaxoSmithKline PLC </t>
  </si>
  <si>
    <t>GSK</t>
  </si>
  <si>
    <t>Abbott Laboratories</t>
  </si>
  <si>
    <t>GlaxoSmithKline</t>
  </si>
  <si>
    <t>GIS</t>
  </si>
  <si>
    <t>AMGN</t>
  </si>
  <si>
    <t>VALUE</t>
  </si>
  <si>
    <t>SESSION</t>
  </si>
  <si>
    <t>CODE</t>
  </si>
  <si>
    <t>Create a scatter plot of the Purchase price (X-axis) and the Last Price (Y-Axis) add the regression equation to the graph.</t>
  </si>
  <si>
    <r>
      <t>ISQ2</t>
    </r>
    <r>
      <rPr>
        <sz val="12"/>
        <color indexed="8"/>
        <rFont val="Arial"/>
        <family val="2"/>
      </rPr>
      <t xml:space="preserve"> – </t>
    </r>
    <r>
      <rPr>
        <b/>
        <sz val="12"/>
        <color indexed="8"/>
        <rFont val="Arial"/>
        <family val="2"/>
      </rPr>
      <t>Identify which stock has the Highest % return.</t>
    </r>
  </si>
  <si>
    <r>
      <t>ISQ2</t>
    </r>
    <r>
      <rPr>
        <sz val="12"/>
        <color indexed="8"/>
        <rFont val="Arial"/>
        <family val="2"/>
      </rPr>
      <t xml:space="preserve"> – </t>
    </r>
    <r>
      <rPr>
        <b/>
        <sz val="12"/>
        <color indexed="8"/>
        <rFont val="Arial"/>
        <family val="2"/>
      </rPr>
      <t>Identify which stock has the Lowest % return.</t>
    </r>
  </si>
  <si>
    <t>Minumum</t>
  </si>
  <si>
    <t>Find the Bottom 5 investmests (based on Percentage return) by using the the Rank, Match and Offset Method</t>
  </si>
  <si>
    <t>Bottom 5 Stock Percentage Returns</t>
  </si>
  <si>
    <t>Stocks Where Commission was a Flat $28 Rate</t>
  </si>
  <si>
    <t>Lowest Return</t>
  </si>
  <si>
    <t>Highest EPS</t>
  </si>
  <si>
    <t>Q#DS2-DS4</t>
  </si>
  <si>
    <t>ISQ6 - Purchase Price less than 40 and a Positive Return</t>
  </si>
  <si>
    <t>ISQ7 - Purchase Price Less than 40 and a negative Return</t>
  </si>
  <si>
    <t>What is the Highest Percentage Return for all Stocks?</t>
  </si>
  <si>
    <t>Whats is the Highest Earnings per Share for all Stocks</t>
  </si>
  <si>
    <t>Stocks whose Portfolio Percent are in the Top 7</t>
  </si>
  <si>
    <t>Data Table</t>
  </si>
  <si>
    <t>Average Market Capital</t>
  </si>
  <si>
    <t>Average Return</t>
  </si>
  <si>
    <t>Average Total Cost</t>
  </si>
  <si>
    <t>Earning per Share</t>
  </si>
  <si>
    <t xml:space="preserve"> Return</t>
  </si>
  <si>
    <t xml:space="preserve">Purchse Price </t>
  </si>
  <si>
    <t>Advanced Filter</t>
  </si>
  <si>
    <t>Array Function</t>
  </si>
  <si>
    <t>STOCKS AS OF 12/08/19</t>
  </si>
  <si>
    <t>What is the Average P/E Ratio for all Stocks?</t>
  </si>
  <si>
    <t>2021-1A</t>
  </si>
  <si>
    <t>FP_USC21A</t>
  </si>
  <si>
    <t>Spring 2021</t>
  </si>
  <si>
    <t>(All)</t>
  </si>
  <si>
    <t>Row Labels</t>
  </si>
  <si>
    <t>Grand Total</t>
  </si>
  <si>
    <t>Sum of Return</t>
  </si>
  <si>
    <t>Sum of P/E Ratio</t>
  </si>
  <si>
    <t>Sum of Earnings Per Share</t>
  </si>
  <si>
    <t>Large</t>
  </si>
  <si>
    <t>Small</t>
  </si>
  <si>
    <t>Medium</t>
  </si>
  <si>
    <t>Sum of Purchase Price</t>
  </si>
  <si>
    <t>Sum of Last Price</t>
  </si>
  <si>
    <t>Sum of Previous Close</t>
  </si>
  <si>
    <t>x</t>
  </si>
  <si>
    <t>Aerospace/Defense Total</t>
  </si>
  <si>
    <t>Computers Total</t>
  </si>
  <si>
    <t>Foods Total</t>
  </si>
  <si>
    <t>Health Care Total</t>
  </si>
  <si>
    <t>Insurance Total</t>
  </si>
  <si>
    <t>Iron and Steel Total</t>
  </si>
  <si>
    <t>Leisure Time Total</t>
  </si>
  <si>
    <t>Manufacturing Total</t>
  </si>
  <si>
    <t>Oil &amp; Gas Total</t>
  </si>
  <si>
    <t>Retail Total</t>
  </si>
  <si>
    <t>Sum of Current Value</t>
  </si>
  <si>
    <t>IBM</t>
  </si>
  <si>
    <t>Shares</t>
  </si>
  <si>
    <t>WMT</t>
  </si>
  <si>
    <t>Total Return</t>
  </si>
  <si>
    <t>$E$12</t>
  </si>
  <si>
    <t>$E$17</t>
  </si>
  <si>
    <t>$E$20</t>
  </si>
  <si>
    <t>$E$38</t>
  </si>
  <si>
    <t>$O$46</t>
  </si>
  <si>
    <t>Scenario Summary</t>
  </si>
  <si>
    <t>Changing Cells:</t>
  </si>
  <si>
    <t>Current Values:</t>
  </si>
  <si>
    <t>Result Cells:</t>
  </si>
  <si>
    <t>Case 1</t>
  </si>
  <si>
    <t>Case 2</t>
  </si>
  <si>
    <t>Case 3</t>
  </si>
  <si>
    <t>COL</t>
  </si>
  <si>
    <t>CPB</t>
  </si>
  <si>
    <t>DVN</t>
  </si>
  <si>
    <t>HAS</t>
  </si>
  <si>
    <t>HSY</t>
  </si>
  <si>
    <t>ITT</t>
  </si>
  <si>
    <t>JCI</t>
  </si>
  <si>
    <t>JNJ</t>
  </si>
  <si>
    <t>KSS</t>
  </si>
  <si>
    <t>MAT</t>
  </si>
  <si>
    <t>MBI</t>
  </si>
  <si>
    <t>MFC</t>
  </si>
  <si>
    <t>MSFT</t>
  </si>
  <si>
    <t>NBR</t>
  </si>
  <si>
    <t>NCR</t>
  </si>
  <si>
    <t>NE</t>
  </si>
  <si>
    <t>PGR</t>
  </si>
  <si>
    <t>TJX</t>
  </si>
  <si>
    <t>X</t>
  </si>
  <si>
    <t>Rate</t>
  </si>
  <si>
    <t>Shares_Purchased</t>
  </si>
  <si>
    <t>Purchase_Price</t>
  </si>
  <si>
    <t>Microsoft Excel 16.48 Answer Report</t>
  </si>
  <si>
    <t>Worksheet: [Final_Case_BJR_Dataset_Spring2021_1.xlsm]P2Q4A</t>
  </si>
  <si>
    <t>Report Created: 5/2/21 4:46:43 PM</t>
  </si>
  <si>
    <t>Result: Solver found a solution.  All constraints and optimality conditions are satisfied.</t>
  </si>
  <si>
    <t>Solver Engine</t>
  </si>
  <si>
    <t>Engine: GRG Nonlinear</t>
  </si>
  <si>
    <t>Solution Time: 2085.954 Seconds.</t>
  </si>
  <si>
    <t>Iterations: 2 Subproblems: 0</t>
  </si>
  <si>
    <t>Solver Options</t>
  </si>
  <si>
    <t>Max Time Unlimited, Iterations Unlimited, Precision 1E-06, Use Automatic Scaling</t>
  </si>
  <si>
    <t>Convergence 0.0001, Population Size 100, Random Seed 0, Derivatives Forward, Require Bounds</t>
  </si>
  <si>
    <t>Max Subproblems Unlimited, Max Integer Sols Unlimited, Integer Tolerance 1%, Assume NonNegative</t>
  </si>
  <si>
    <t>Objective Cell (Value Of)</t>
  </si>
  <si>
    <t>Cell</t>
  </si>
  <si>
    <t>Original Value</t>
  </si>
  <si>
    <t>Final Value</t>
  </si>
  <si>
    <t>Variable Cells</t>
  </si>
  <si>
    <t>Integer</t>
  </si>
  <si>
    <t>Constraints</t>
  </si>
  <si>
    <t>Cell Value</t>
  </si>
  <si>
    <t>Formula</t>
  </si>
  <si>
    <t>Status</t>
  </si>
  <si>
    <t>Slack</t>
  </si>
  <si>
    <t>$E$11</t>
  </si>
  <si>
    <t>Health Care Shares Purchased</t>
  </si>
  <si>
    <t>Contin</t>
  </si>
  <si>
    <t>$E$13</t>
  </si>
  <si>
    <t>Aerospace/Defense Shares Purchased</t>
  </si>
  <si>
    <t>$E$14</t>
  </si>
  <si>
    <t>Foods Shares Purchased</t>
  </si>
  <si>
    <t>$E$15</t>
  </si>
  <si>
    <t>$E$16</t>
  </si>
  <si>
    <t>Oil &amp; Gas Shares Purchased</t>
  </si>
  <si>
    <t>$E$18</t>
  </si>
  <si>
    <t>$E$19</t>
  </si>
  <si>
    <t>Leisure Time Shares Purchased</t>
  </si>
  <si>
    <t>Computers Shares Purchased</t>
  </si>
  <si>
    <t>$E$21</t>
  </si>
  <si>
    <t>$E$22</t>
  </si>
  <si>
    <t>$E$23</t>
  </si>
  <si>
    <t>Manufacturing Shares Purchased</t>
  </si>
  <si>
    <t>$E$24</t>
  </si>
  <si>
    <t>$E$25</t>
  </si>
  <si>
    <t>$E$26</t>
  </si>
  <si>
    <t>Retail Shares Purchased</t>
  </si>
  <si>
    <t>$E$27</t>
  </si>
  <si>
    <t>$E$28</t>
  </si>
  <si>
    <t>$E$29</t>
  </si>
  <si>
    <t>$E$30</t>
  </si>
  <si>
    <t>Insurance Shares Purchased</t>
  </si>
  <si>
    <t>$E$31</t>
  </si>
  <si>
    <t>$E$32</t>
  </si>
  <si>
    <t>$E$33</t>
  </si>
  <si>
    <t>$E$34</t>
  </si>
  <si>
    <t>$E$35</t>
  </si>
  <si>
    <t>$E$36</t>
  </si>
  <si>
    <t>$E$37</t>
  </si>
  <si>
    <t>$E$39</t>
  </si>
  <si>
    <t>Iron and Steel Shares Purchased</t>
  </si>
  <si>
    <t>$E$40</t>
  </si>
  <si>
    <t>$E$41</t>
  </si>
  <si>
    <t>$O$46=0.4</t>
  </si>
  <si>
    <t>Binding</t>
  </si>
  <si>
    <t>$E$11&gt;=0</t>
  </si>
  <si>
    <t>Not Binding</t>
  </si>
  <si>
    <t>$E$12&gt;=0</t>
  </si>
  <si>
    <t>$E$13&gt;=0</t>
  </si>
  <si>
    <t>$E$14&gt;=0</t>
  </si>
  <si>
    <t>$E$15&gt;=0</t>
  </si>
  <si>
    <t>$E$16&gt;=0</t>
  </si>
  <si>
    <t>$E$17&gt;=0</t>
  </si>
  <si>
    <t>$E$18&gt;=0</t>
  </si>
  <si>
    <t>$E$19&gt;=0</t>
  </si>
  <si>
    <t>$E$20&gt;=0</t>
  </si>
  <si>
    <t>$E$21&gt;=0</t>
  </si>
  <si>
    <t>$E$22&gt;=0</t>
  </si>
  <si>
    <t>$E$23&gt;=0</t>
  </si>
  <si>
    <t>$E$24&gt;=0</t>
  </si>
  <si>
    <t>$E$25&gt;=0</t>
  </si>
  <si>
    <t>$E$26&gt;=0</t>
  </si>
  <si>
    <t>$E$27&gt;=0</t>
  </si>
  <si>
    <t>$E$28&gt;=0</t>
  </si>
  <si>
    <t>$E$29&gt;=0</t>
  </si>
  <si>
    <t>$E$30&gt;=0</t>
  </si>
  <si>
    <t>$E$31&gt;=0</t>
  </si>
  <si>
    <t>$E$32&gt;=0</t>
  </si>
  <si>
    <t>$E$33&gt;=0</t>
  </si>
  <si>
    <t>$E$34&gt;=0</t>
  </si>
  <si>
    <t>$E$35&gt;=0</t>
  </si>
  <si>
    <t>$E$36&gt;=0</t>
  </si>
  <si>
    <t>$E$37&gt;=0</t>
  </si>
  <si>
    <t>$E$38&gt;=0</t>
  </si>
  <si>
    <t>$E$39&gt;=0</t>
  </si>
  <si>
    <t>$E$40&gt;=0</t>
  </si>
  <si>
    <t>$E$41&gt;=0</t>
  </si>
  <si>
    <t>Microsoft Excel 16.48 Sensitivity Report</t>
  </si>
  <si>
    <t>Report Created: 5/2/21 4:46:45 PM</t>
  </si>
  <si>
    <t>Final</t>
  </si>
  <si>
    <t>Value</t>
  </si>
  <si>
    <t>Reduced</t>
  </si>
  <si>
    <t>Gradient</t>
  </si>
  <si>
    <t>Lagrange</t>
  </si>
  <si>
    <t>Multiplier</t>
  </si>
  <si>
    <t>Worksheet: [Final_Case_BJR_Dataset_Spring2021_1.xlsm]P2Q4B</t>
  </si>
  <si>
    <t>Report Created: 5/2/21 5:04:13 PM</t>
  </si>
  <si>
    <t>Solution Time: 1854.865 Seconds.</t>
  </si>
  <si>
    <t>Iterations: 6 Subproblems: 0</t>
  </si>
  <si>
    <t>Objective Cell (Max)</t>
  </si>
  <si>
    <t>$E$21&lt;=250</t>
  </si>
  <si>
    <t>$E$22&lt;=250</t>
  </si>
  <si>
    <t>$E$23&lt;=250</t>
  </si>
  <si>
    <t>$E$24&lt;=250</t>
  </si>
  <si>
    <t>$E$25&lt;=250</t>
  </si>
  <si>
    <t>$E$21:$E$25=Integer</t>
  </si>
  <si>
    <t>The maximum return that can be achieved is 41%.</t>
  </si>
  <si>
    <t>Additional Shares: AMGN - 150, ABT - 150, GSK - 100, JNJ - 162, LLY - 200</t>
  </si>
  <si>
    <t>I would say this situation is unique because you could only buy from a specific industry and fractional shares couldn't be bought.</t>
  </si>
  <si>
    <t>I don't think this situation is unique because it is common for companies to want to see how they can increase their portfolio's return.</t>
  </si>
  <si>
    <t>Stephanie Agbenorhevi</t>
  </si>
  <si>
    <t>Description</t>
  </si>
  <si>
    <t>This workbook is designed to analyze stock portfolio information.</t>
  </si>
  <si>
    <t>Worksheet</t>
  </si>
  <si>
    <t>Portfolio-download_Sheet</t>
  </si>
  <si>
    <t>IS1-Bottom5_Investment</t>
  </si>
  <si>
    <t>IS2-Stock Summary</t>
  </si>
  <si>
    <t>ISQ1-ISQ4</t>
  </si>
  <si>
    <t>ISQ5A-Commission-flatfee</t>
  </si>
  <si>
    <t>ISQ5B-Commission-1%</t>
  </si>
  <si>
    <t>ISQ6-&lt;40Positive Return</t>
  </si>
  <si>
    <t>ISQ7-&lt;40Negative Return</t>
  </si>
  <si>
    <t>ISQ8-Stock Prices</t>
  </si>
  <si>
    <t>Portfolio-TYD</t>
  </si>
  <si>
    <t>TYD2</t>
  </si>
  <si>
    <t>TYD3-New Stock Info</t>
  </si>
  <si>
    <t>TYD4-Large Cap Data</t>
  </si>
  <si>
    <t>TYD5-Small Cap Data</t>
  </si>
  <si>
    <t>TYD6-Top7</t>
  </si>
  <si>
    <t>TYD7-PieChart</t>
  </si>
  <si>
    <t>TYD8-Subtotal</t>
  </si>
  <si>
    <t>TYD9-Scatterplot</t>
  </si>
  <si>
    <t>TYD10-GSKChart</t>
  </si>
  <si>
    <t>GSK-66dayinformation</t>
  </si>
  <si>
    <t>P2Q1</t>
  </si>
  <si>
    <t>P2Q2</t>
  </si>
  <si>
    <t>P2Q3A</t>
  </si>
  <si>
    <t>P2Q3B</t>
  </si>
  <si>
    <t>P2Q4A</t>
  </si>
  <si>
    <t>P2Q4B</t>
  </si>
  <si>
    <t>P2Q5</t>
  </si>
  <si>
    <t>P2Q6A</t>
  </si>
  <si>
    <t>P2Q6B</t>
  </si>
  <si>
    <t>This sheet displays a stock's purchase price, shares, earnings per share, and return using Vlookup</t>
  </si>
  <si>
    <t>This sheet displays the average market capital, average current value, average return, and average total cost for Small capitalization stocks or stocks with a higher earnings per share than average using advanced filter and database functions.</t>
  </si>
  <si>
    <t>This sheet highlights the new price of WMT for the return on the portfolio to be 25% using goal seek</t>
  </si>
  <si>
    <t>This sheet highlights the new price of IBM for the return on the portfolio to be 33% using goal seek</t>
  </si>
  <si>
    <t>This sheet uses solver to determine how many additional shares in each stock are needed to produce a total return of 40%</t>
  </si>
  <si>
    <t>This sheet uses solver to determine how many additional shares are needed to maximize total returns</t>
  </si>
  <si>
    <t>This sheet uses what-if analysis to determine how total return will change the amount of shares of certain stocks are changed</t>
  </si>
  <si>
    <t>This sheet uses a custom function to create new commission amounts</t>
  </si>
  <si>
    <t>This sheet uses macros to plot scatter plots and sort stocks</t>
  </si>
  <si>
    <t>This sheet contains information of the stock GSK for the last 66 days of trade</t>
  </si>
  <si>
    <t>This sheet contains a stock chart for the last 66 days of trade for GSK</t>
  </si>
  <si>
    <t>This sheet contains a scatter plot for purchase price and last price</t>
  </si>
  <si>
    <t>This sheet contains subtotal of total costs based on the type of industry</t>
  </si>
  <si>
    <t>This sheet contains a pie chart to show the percentage of investment by industry</t>
  </si>
  <si>
    <t>This sheet contains the top 7 firms in which the client is invested</t>
  </si>
  <si>
    <t>This sheet contains the small capitalization stocks with the highest and lowest current values</t>
  </si>
  <si>
    <t>This sheet contains the large capitalization stocks with the lowest return, highest P/E ratio, and highest earnings per share</t>
  </si>
  <si>
    <t>This sheet contains the newest stocks with the highest and lowest returns, and the averages for commission, current value, and P/E ratio</t>
  </si>
  <si>
    <t>This sheet contains the stocks with the lowest commission, highest return, highest earnings per share, and the average P/E ratio</t>
  </si>
  <si>
    <t>This sheet contains all of the previous stock information as well as new stocks added</t>
  </si>
  <si>
    <t>This sheet contains a pivot table with the purchase price, last price, and previous close for each stock, filtered by industry</t>
  </si>
  <si>
    <t>This sheet contains the stocks with a purchase price of below $40 and a negative return</t>
  </si>
  <si>
    <t>This sheet contains the stocks with a purchase price of below $40 and a positive return</t>
  </si>
  <si>
    <t>This sheet contains the stocks with 1% commission using autofilter</t>
  </si>
  <si>
    <t>This sheet contains the stocks with a flat fee commission using autofilter</t>
  </si>
  <si>
    <t>This sheet contains the most expensive stock, the stocks with highest and lowest returns, highest and lowest P/E ratios, and highest and lowest closes</t>
  </si>
  <si>
    <t>This sheet contains a pivot table summarizing the returns, P/E ratio, and earnings per share for each stock filtered by industry</t>
  </si>
  <si>
    <t>This sheet contains the bottom 5 stocks based on returns</t>
  </si>
  <si>
    <t>Portfolio</t>
  </si>
  <si>
    <t>This sheet contains stock information and statistics</t>
  </si>
  <si>
    <t>This sheet contains information for each stock</t>
  </si>
  <si>
    <t>This sheet contains the bottom 5 stocks based on returns using rank, match, and offset</t>
  </si>
  <si>
    <t>This sheet displays the average market capital, average current value, average return, and average total cost for Small capitalization stocks or stocks with a higher earnings per share than average using advanced filter and database functions. It also shows the third largest current value of all large capitalization stocks using an array function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</si>
</sst>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8" formatCode="&quot;$&quot;#,##0.00_);[Red]\(&quot;$&quot;#,##0.00\)"/>
    <numFmt numFmtId="44" formatCode="_(&quot;$&quot;* #,##0.00_);_(&quot;$&quot;* \(#,##0.00\);_(&quot;$&quot;* &quot;-&quot;??_);_(@_)"/>
    <numFmt numFmtId="43" formatCode="_(* #,##0.00_);_(* \(#,##0.00\);_(* &quot;-&quot;??_);_(@_)"/>
    <numFmt numFmtId="164" formatCode="&quot;$&quot;#,##0.00"/>
    <numFmt numFmtId="165" formatCode="_(* #,##0.00000_);_(* \(#,##0.00000\);_(* &quot;-&quot;??_);_(@_)"/>
    <numFmt numFmtId="166" formatCode="0.0%"/>
  </numFmts>
  <fonts count="39">
    <font>
      <sz val="10"/>
      <name val="Arial"/>
    </font>
    <font>
      <sz val="10"/>
      <name val="Arial"/>
      <family val="2"/>
    </font>
    <font>
      <sz val="10"/>
      <color indexed="8"/>
      <name val="Arial"/>
      <family val="2"/>
    </font>
    <font>
      <sz val="8"/>
      <name val="Arial"/>
      <family val="2"/>
    </font>
    <font>
      <b/>
      <sz val="10"/>
      <name val="Arial"/>
      <family val="2"/>
    </font>
    <font>
      <b/>
      <sz val="12"/>
      <name val="Arial"/>
      <family val="2"/>
    </font>
    <font>
      <b/>
      <sz val="14"/>
      <name val="Arial"/>
      <family val="2"/>
    </font>
    <font>
      <sz val="16"/>
      <name val="Arial"/>
      <family val="2"/>
    </font>
    <font>
      <sz val="12"/>
      <color indexed="8"/>
      <name val="Arial"/>
      <family val="2"/>
    </font>
    <font>
      <b/>
      <sz val="12"/>
      <color indexed="8"/>
      <name val="Arial"/>
      <family val="2"/>
    </font>
    <font>
      <sz val="18"/>
      <name val="Arial"/>
      <family val="2"/>
    </font>
    <font>
      <b/>
      <i/>
      <sz val="10"/>
      <color indexed="8"/>
      <name val="Times New Roman"/>
      <family val="1"/>
    </font>
    <font>
      <sz val="12"/>
      <name val="Arial"/>
      <family val="2"/>
    </font>
    <font>
      <sz val="14"/>
      <name val="Arial"/>
      <family val="2"/>
    </font>
    <font>
      <u/>
      <sz val="10"/>
      <color indexed="12"/>
      <name val="Arial"/>
      <family val="2"/>
    </font>
    <font>
      <b/>
      <sz val="8"/>
      <name val="Arial"/>
      <family val="2"/>
    </font>
    <font>
      <b/>
      <sz val="14"/>
      <color indexed="8"/>
      <name val="Times New Roman"/>
      <family val="1"/>
    </font>
    <font>
      <b/>
      <sz val="11"/>
      <name val="Arial"/>
      <family val="2"/>
    </font>
    <font>
      <b/>
      <sz val="10"/>
      <color rgb="FF000000"/>
      <name val="Times New Roman"/>
      <family val="1"/>
    </font>
    <font>
      <b/>
      <sz val="18"/>
      <color rgb="FFFFFFFF"/>
      <name val="Times Roman"/>
    </font>
    <font>
      <b/>
      <sz val="10"/>
      <color rgb="FF0070C0"/>
      <name val="Arial"/>
      <family val="2"/>
    </font>
    <font>
      <b/>
      <sz val="10"/>
      <color rgb="FFFF0000"/>
      <name val="Arial"/>
      <family val="2"/>
    </font>
    <font>
      <b/>
      <sz val="11"/>
      <color indexed="8"/>
      <name val="Times New Roman"/>
      <family val="1"/>
    </font>
    <font>
      <b/>
      <sz val="10"/>
      <color theme="3" tint="0.39997558519241921"/>
      <name val="Arial"/>
      <family val="2"/>
    </font>
    <font>
      <sz val="10"/>
      <color theme="3"/>
      <name val="Arial"/>
      <family val="2"/>
    </font>
    <font>
      <b/>
      <sz val="10"/>
      <color theme="3"/>
      <name val="Arial"/>
      <family val="2"/>
    </font>
    <font>
      <b/>
      <u/>
      <sz val="10"/>
      <color indexed="12"/>
      <name val="Arial"/>
      <family val="2"/>
    </font>
    <font>
      <b/>
      <sz val="10"/>
      <color indexed="8"/>
      <name val="Arial"/>
      <family val="2"/>
    </font>
    <font>
      <b/>
      <sz val="10"/>
      <color rgb="FFFFFFFF"/>
      <name val="Arial"/>
      <family val="2"/>
    </font>
    <font>
      <sz val="24"/>
      <name val="Arial"/>
      <family val="2"/>
    </font>
    <font>
      <sz val="10"/>
      <color rgb="FF3366FF"/>
      <name val="Arial"/>
      <family val="2"/>
    </font>
    <font>
      <b/>
      <sz val="16"/>
      <name val="Arial"/>
      <family val="2"/>
    </font>
    <font>
      <sz val="10"/>
      <color theme="1"/>
      <name val="Arial"/>
      <family val="2"/>
    </font>
    <font>
      <b/>
      <sz val="10"/>
      <color theme="1"/>
      <name val="Arial"/>
      <family val="2"/>
    </font>
    <font>
      <b/>
      <sz val="11"/>
      <color indexed="9"/>
      <name val="Arial"/>
      <family val="2"/>
    </font>
    <font>
      <b/>
      <sz val="10"/>
      <color indexed="8"/>
      <name val="Arial"/>
      <family val="2"/>
    </font>
    <font>
      <b/>
      <sz val="10"/>
      <color indexed="18"/>
      <name val="Arial"/>
      <family val="2"/>
    </font>
    <font>
      <sz val="9"/>
      <color indexed="9"/>
      <name val="Arial"/>
      <family val="2"/>
    </font>
    <font>
      <b/>
      <sz val="10"/>
      <color indexed="18"/>
      <name val="Arial"/>
      <family val="2"/>
    </font>
  </fonts>
  <fills count="23">
    <fill>
      <patternFill patternType="none"/>
    </fill>
    <fill>
      <patternFill patternType="gray125"/>
    </fill>
    <fill>
      <patternFill patternType="solid">
        <fgColor indexed="22"/>
        <bgColor indexed="64"/>
      </patternFill>
    </fill>
    <fill>
      <patternFill patternType="solid">
        <fgColor indexed="13"/>
        <bgColor indexed="64"/>
      </patternFill>
    </fill>
    <fill>
      <patternFill patternType="solid">
        <fgColor indexed="9"/>
        <bgColor indexed="64"/>
      </patternFill>
    </fill>
    <fill>
      <patternFill patternType="solid">
        <fgColor indexed="41"/>
        <bgColor indexed="64"/>
      </patternFill>
    </fill>
    <fill>
      <patternFill patternType="solid">
        <fgColor indexed="43"/>
        <bgColor indexed="64"/>
      </patternFill>
    </fill>
    <fill>
      <patternFill patternType="solid">
        <fgColor rgb="FFFFFFFF"/>
        <bgColor indexed="64"/>
      </patternFill>
    </fill>
    <fill>
      <patternFill patternType="solid">
        <fgColor theme="1"/>
        <bgColor indexed="64"/>
      </patternFill>
    </fill>
    <fill>
      <patternFill patternType="solid">
        <fgColor rgb="FF000080"/>
        <bgColor indexed="64"/>
      </patternFill>
    </fill>
    <fill>
      <patternFill patternType="solid">
        <fgColor rgb="FFFFFF00"/>
        <bgColor indexed="64"/>
      </patternFill>
    </fill>
    <fill>
      <patternFill patternType="solid">
        <fgColor theme="0" tint="-4.9989318521683403E-2"/>
        <bgColor indexed="64"/>
      </patternFill>
    </fill>
    <fill>
      <patternFill patternType="solid">
        <fgColor rgb="FFCCFF33"/>
        <bgColor indexed="64"/>
      </patternFill>
    </fill>
    <fill>
      <patternFill patternType="solid">
        <fgColor rgb="FFFFFF99"/>
        <bgColor indexed="64"/>
      </patternFill>
    </fill>
    <fill>
      <patternFill patternType="solid">
        <fgColor theme="3" tint="0.39997558519241921"/>
        <bgColor indexed="64"/>
      </patternFill>
    </fill>
    <fill>
      <patternFill patternType="solid">
        <fgColor theme="0" tint="-0.249977111117893"/>
        <bgColor indexed="64"/>
      </patternFill>
    </fill>
    <fill>
      <patternFill patternType="solid">
        <fgColor theme="9" tint="0.7999816888943144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indexed="20"/>
        <bgColor indexed="24"/>
      </patternFill>
    </fill>
    <fill>
      <patternFill patternType="solid">
        <fgColor indexed="22"/>
        <bgColor indexed="24"/>
      </patternFill>
    </fill>
    <fill>
      <patternFill patternType="solid">
        <fgColor indexed="22"/>
        <bgColor indexed="7"/>
      </patternFill>
    </fill>
  </fills>
  <borders count="46">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22"/>
      </left>
      <right style="thin">
        <color indexed="22"/>
      </right>
      <top style="thin">
        <color indexed="22"/>
      </top>
      <bottom/>
      <diagonal/>
    </border>
    <border>
      <left/>
      <right style="thin">
        <color indexed="64"/>
      </right>
      <top style="thin">
        <color indexed="64"/>
      </top>
      <bottom style="thin">
        <color indexed="64"/>
      </bottom>
      <diagonal/>
    </border>
    <border>
      <left/>
      <right style="medium">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top/>
      <bottom style="medium">
        <color indexed="64"/>
      </bottom>
      <diagonal/>
    </border>
    <border>
      <left/>
      <right/>
      <top style="thin">
        <color indexed="64"/>
      </top>
      <bottom style="medium">
        <color indexed="64"/>
      </bottom>
      <diagonal/>
    </border>
    <border>
      <left/>
      <right/>
      <top style="medium">
        <color indexed="64"/>
      </top>
      <bottom/>
      <diagonal/>
    </border>
    <border>
      <left style="medium">
        <color indexed="64"/>
      </left>
      <right/>
      <top style="medium">
        <color indexed="64"/>
      </top>
      <bottom/>
      <diagonal/>
    </border>
    <border>
      <left/>
      <right/>
      <top/>
      <bottom style="medium">
        <color indexed="64"/>
      </bottom>
      <diagonal/>
    </border>
    <border>
      <left style="thin">
        <color indexed="22"/>
      </left>
      <right/>
      <top style="thin">
        <color indexed="22"/>
      </top>
      <bottom/>
      <diagonal/>
    </border>
    <border>
      <left/>
      <right/>
      <top style="thin">
        <color indexed="22"/>
      </top>
      <bottom/>
      <diagonal/>
    </border>
    <border>
      <left/>
      <right style="thin">
        <color indexed="22"/>
      </right>
      <top style="thin">
        <color indexed="22"/>
      </top>
      <bottom/>
      <diagonal/>
    </border>
    <border>
      <left style="thin">
        <color indexed="22"/>
      </left>
      <right/>
      <top/>
      <bottom style="thin">
        <color indexed="22"/>
      </bottom>
      <diagonal/>
    </border>
    <border>
      <left/>
      <right/>
      <top/>
      <bottom style="thin">
        <color indexed="22"/>
      </bottom>
      <diagonal/>
    </border>
    <border>
      <left/>
      <right style="thin">
        <color indexed="22"/>
      </right>
      <top/>
      <bottom style="thin">
        <color indexed="22"/>
      </bottom>
      <diagonal/>
    </border>
    <border>
      <left style="thin">
        <color rgb="FFFFFFFF"/>
      </left>
      <right/>
      <top style="thin">
        <color rgb="FFFFFFFF"/>
      </top>
      <bottom style="thin">
        <color rgb="FFFFFFFF"/>
      </bottom>
      <diagonal/>
    </border>
    <border>
      <left style="thin">
        <color rgb="FFFFFFFF"/>
      </left>
      <right style="thin">
        <color rgb="FFFFFFFF"/>
      </right>
      <top style="thin">
        <color rgb="FFFFFFFF"/>
      </top>
      <bottom style="thin">
        <color rgb="FFFFFFFF"/>
      </bottom>
      <diagonal/>
    </border>
    <border>
      <left/>
      <right/>
      <top style="thin">
        <color rgb="FFFFFFFF"/>
      </top>
      <bottom style="thin">
        <color rgb="FFFFFFFF"/>
      </bottom>
      <diagonal/>
    </border>
    <border>
      <left/>
      <right style="medium">
        <color rgb="FF000000"/>
      </right>
      <top style="medium">
        <color indexed="64"/>
      </top>
      <bottom/>
      <diagonal/>
    </border>
    <border>
      <left/>
      <right style="medium">
        <color rgb="FF000000"/>
      </right>
      <top/>
      <bottom style="medium">
        <color indexed="64"/>
      </bottom>
      <diagonal/>
    </border>
    <border>
      <left style="medium">
        <color indexed="8"/>
      </left>
      <right/>
      <top style="thin">
        <color indexed="64"/>
      </top>
      <bottom style="medium">
        <color indexed="64"/>
      </bottom>
      <diagonal/>
    </border>
    <border>
      <left style="medium">
        <color indexed="8"/>
      </left>
      <right/>
      <top style="medium">
        <color indexed="64"/>
      </top>
      <bottom/>
      <diagonal/>
    </border>
    <border>
      <left/>
      <right style="medium">
        <color indexed="64"/>
      </right>
      <top style="medium">
        <color indexed="64"/>
      </top>
      <bottom/>
      <diagonal/>
    </border>
    <border>
      <left style="thin">
        <color indexed="64"/>
      </left>
      <right style="thin">
        <color indexed="64"/>
      </right>
      <top/>
      <bottom/>
      <diagonal/>
    </border>
    <border>
      <left style="thin">
        <color rgb="FFFFFFFF"/>
      </left>
      <right/>
      <top/>
      <bottom style="thin">
        <color rgb="FFFFFFFF"/>
      </bottom>
      <diagonal/>
    </border>
    <border>
      <left style="thin">
        <color rgb="FFFFFFFF"/>
      </left>
      <right style="thin">
        <color rgb="FFFFFFFF"/>
      </right>
      <top/>
      <bottom style="thin">
        <color rgb="FFFFFFFF"/>
      </bottom>
      <diagonal/>
    </border>
    <border>
      <left/>
      <right/>
      <top/>
      <bottom style="thin">
        <color rgb="FFFFFFFF"/>
      </bottom>
      <diagonal/>
    </border>
    <border>
      <left/>
      <right/>
      <top/>
      <bottom style="thin">
        <color indexed="64"/>
      </bottom>
      <diagonal/>
    </border>
    <border>
      <left/>
      <right/>
      <top style="thin">
        <color indexed="64"/>
      </top>
      <bottom style="thin">
        <color indexed="64"/>
      </bottom>
      <diagonal/>
    </border>
    <border>
      <left/>
      <right/>
      <top style="medium">
        <color indexed="23"/>
      </top>
      <bottom/>
      <diagonal/>
    </border>
    <border>
      <left/>
      <right/>
      <top/>
      <bottom style="medium">
        <color indexed="23"/>
      </bottom>
      <diagonal/>
    </border>
    <border>
      <left/>
      <right/>
      <top style="medium">
        <color indexed="23"/>
      </top>
      <bottom style="medium">
        <color indexed="23"/>
      </bottom>
      <diagonal/>
    </border>
    <border>
      <left/>
      <right/>
      <top style="thin">
        <color indexed="23"/>
      </top>
      <bottom style="medium">
        <color indexed="23"/>
      </bottom>
      <diagonal/>
    </border>
    <border>
      <left/>
      <right/>
      <top style="thin">
        <color indexed="23"/>
      </top>
      <bottom/>
      <diagonal/>
    </border>
  </borders>
  <cellStyleXfs count="5">
    <xf numFmtId="0" fontId="0" fillId="0" borderId="0"/>
    <xf numFmtId="43" fontId="1" fillId="0" borderId="0" applyFont="0" applyFill="0" applyBorder="0" applyAlignment="0" applyProtection="0"/>
    <xf numFmtId="44" fontId="1" fillId="0" borderId="0" applyFont="0" applyFill="0" applyBorder="0" applyAlignment="0" applyProtection="0"/>
    <xf numFmtId="0" fontId="14" fillId="0" borderId="0" applyNumberFormat="0" applyFill="0" applyBorder="0" applyAlignment="0" applyProtection="0">
      <alignment vertical="top"/>
      <protection locked="0"/>
    </xf>
    <xf numFmtId="9" fontId="1" fillId="0" borderId="0" applyFont="0" applyFill="0" applyBorder="0" applyAlignment="0" applyProtection="0"/>
  </cellStyleXfs>
  <cellXfs count="327">
    <xf numFmtId="0" fontId="0" fillId="0" borderId="0" xfId="0"/>
    <xf numFmtId="0" fontId="4" fillId="0" borderId="0" xfId="0" applyFont="1"/>
    <xf numFmtId="0" fontId="5" fillId="0" borderId="0" xfId="0" applyFont="1"/>
    <xf numFmtId="0" fontId="0" fillId="0" borderId="0" xfId="0" applyFill="1"/>
    <xf numFmtId="44" fontId="0" fillId="0" borderId="0" xfId="2" applyFont="1"/>
    <xf numFmtId="0" fontId="7" fillId="0" borderId="0" xfId="0" applyFont="1"/>
    <xf numFmtId="0" fontId="2" fillId="0" borderId="0" xfId="0" applyFont="1" applyFill="1" applyBorder="1" applyAlignment="1">
      <alignment vertical="top" wrapText="1"/>
    </xf>
    <xf numFmtId="0" fontId="2" fillId="0" borderId="0" xfId="0" applyFont="1" applyFill="1" applyBorder="1" applyAlignment="1">
      <alignment horizontal="right" vertical="top" wrapText="1"/>
    </xf>
    <xf numFmtId="14" fontId="2" fillId="0" borderId="0" xfId="0" applyNumberFormat="1" applyFont="1" applyFill="1" applyBorder="1" applyAlignment="1">
      <alignment horizontal="right" vertical="top" wrapText="1"/>
    </xf>
    <xf numFmtId="8" fontId="2" fillId="0" borderId="0" xfId="0" applyNumberFormat="1" applyFont="1" applyFill="1" applyBorder="1" applyAlignment="1">
      <alignment horizontal="right" vertical="top" wrapText="1"/>
    </xf>
    <xf numFmtId="0" fontId="0" fillId="0" borderId="1" xfId="0" applyFill="1" applyBorder="1"/>
    <xf numFmtId="0" fontId="10" fillId="0" borderId="0" xfId="0" applyFont="1"/>
    <xf numFmtId="10" fontId="1" fillId="0" borderId="0" xfId="4" applyNumberFormat="1"/>
    <xf numFmtId="0" fontId="12" fillId="0" borderId="0" xfId="0" applyFont="1"/>
    <xf numFmtId="44" fontId="12" fillId="0" borderId="0" xfId="2" applyFont="1"/>
    <xf numFmtId="0" fontId="4" fillId="0" borderId="0" xfId="0" applyFont="1" applyFill="1"/>
    <xf numFmtId="0" fontId="5" fillId="0" borderId="0" xfId="0" applyFont="1" applyFill="1"/>
    <xf numFmtId="43" fontId="1" fillId="2" borderId="2" xfId="1" applyFill="1" applyBorder="1"/>
    <xf numFmtId="44" fontId="4" fillId="2" borderId="2" xfId="2" applyFont="1" applyFill="1" applyBorder="1"/>
    <xf numFmtId="43" fontId="4" fillId="2" borderId="2" xfId="1" applyFont="1" applyFill="1" applyBorder="1"/>
    <xf numFmtId="0" fontId="4" fillId="0" borderId="1" xfId="0" applyFont="1" applyFill="1" applyBorder="1"/>
    <xf numFmtId="0" fontId="4" fillId="0" borderId="5" xfId="0" applyFont="1" applyFill="1" applyBorder="1"/>
    <xf numFmtId="0" fontId="6" fillId="0" borderId="0" xfId="0" applyFont="1"/>
    <xf numFmtId="0" fontId="0" fillId="0" borderId="2" xfId="0" applyBorder="1"/>
    <xf numFmtId="8" fontId="0" fillId="0" borderId="0" xfId="0" applyNumberFormat="1"/>
    <xf numFmtId="0" fontId="17" fillId="3" borderId="8" xfId="0" applyFont="1" applyFill="1" applyBorder="1" applyAlignment="1"/>
    <xf numFmtId="0" fontId="17" fillId="3" borderId="9" xfId="0" applyFont="1" applyFill="1" applyBorder="1" applyAlignment="1"/>
    <xf numFmtId="0" fontId="0" fillId="3" borderId="10" xfId="0" applyFill="1" applyBorder="1"/>
    <xf numFmtId="0" fontId="4" fillId="5" borderId="2" xfId="0" applyFont="1" applyFill="1" applyBorder="1"/>
    <xf numFmtId="0" fontId="0" fillId="2" borderId="11" xfId="0" applyFill="1" applyBorder="1"/>
    <xf numFmtId="0" fontId="2" fillId="5" borderId="12" xfId="0" applyFont="1" applyFill="1" applyBorder="1" applyAlignment="1">
      <alignment vertical="top" wrapText="1"/>
    </xf>
    <xf numFmtId="0" fontId="5" fillId="6" borderId="2" xfId="0" applyFont="1" applyFill="1" applyBorder="1"/>
    <xf numFmtId="0" fontId="0" fillId="6" borderId="2" xfId="0" applyFill="1" applyBorder="1"/>
    <xf numFmtId="0" fontId="4" fillId="6" borderId="2" xfId="0" applyFont="1" applyFill="1" applyBorder="1"/>
    <xf numFmtId="0" fontId="15" fillId="7" borderId="13" xfId="0" applyFont="1" applyFill="1" applyBorder="1" applyAlignment="1">
      <alignment horizontal="right" wrapText="1"/>
    </xf>
    <xf numFmtId="0" fontId="14" fillId="0" borderId="28" xfId="3" applyBorder="1" applyAlignment="1" applyProtection="1">
      <alignment vertical="top" wrapText="1"/>
    </xf>
    <xf numFmtId="0" fontId="14" fillId="0" borderId="29" xfId="3" applyBorder="1" applyAlignment="1" applyProtection="1">
      <alignment vertical="top" wrapText="1"/>
    </xf>
    <xf numFmtId="0" fontId="0" fillId="11" borderId="2" xfId="0" applyFill="1" applyBorder="1"/>
    <xf numFmtId="0" fontId="1" fillId="0" borderId="2" xfId="0" applyFont="1" applyBorder="1" applyAlignment="1">
      <alignment horizontal="right" vertical="top" wrapText="1"/>
    </xf>
    <xf numFmtId="0" fontId="1" fillId="0" borderId="6" xfId="0" applyFont="1" applyBorder="1" applyAlignment="1">
      <alignment horizontal="right" vertical="top" wrapText="1"/>
    </xf>
    <xf numFmtId="3" fontId="1" fillId="0" borderId="6" xfId="0" applyNumberFormat="1" applyFont="1" applyBorder="1" applyAlignment="1">
      <alignment horizontal="right" vertical="top" wrapText="1"/>
    </xf>
    <xf numFmtId="10" fontId="1" fillId="0" borderId="6" xfId="0" applyNumberFormat="1" applyFont="1" applyBorder="1" applyAlignment="1">
      <alignment horizontal="right" vertical="top" wrapText="1"/>
    </xf>
    <xf numFmtId="0" fontId="1" fillId="7" borderId="0" xfId="0" applyFont="1" applyFill="1" applyAlignment="1">
      <alignment wrapText="1"/>
    </xf>
    <xf numFmtId="0" fontId="0" fillId="0" borderId="2" xfId="0" applyFill="1" applyBorder="1"/>
    <xf numFmtId="0" fontId="1" fillId="0" borderId="2" xfId="3" applyFont="1" applyFill="1" applyBorder="1" applyAlignment="1" applyProtection="1">
      <alignment vertical="top" wrapText="1"/>
    </xf>
    <xf numFmtId="0" fontId="1" fillId="0" borderId="2" xfId="0" applyFont="1" applyBorder="1"/>
    <xf numFmtId="14" fontId="0" fillId="0" borderId="2" xfId="0" applyNumberFormat="1" applyBorder="1"/>
    <xf numFmtId="8" fontId="0" fillId="0" borderId="2" xfId="0" applyNumberFormat="1" applyBorder="1" applyAlignment="1">
      <alignment horizontal="right"/>
    </xf>
    <xf numFmtId="0" fontId="2" fillId="4" borderId="2" xfId="0" applyFont="1" applyFill="1" applyBorder="1" applyAlignment="1">
      <alignment wrapText="1"/>
    </xf>
    <xf numFmtId="0" fontId="0" fillId="0" borderId="0" xfId="0" applyFill="1" applyBorder="1"/>
    <xf numFmtId="0" fontId="5" fillId="0" borderId="0" xfId="0" applyFont="1" applyFill="1" applyAlignment="1"/>
    <xf numFmtId="165" fontId="5" fillId="11" borderId="4" xfId="1" applyNumberFormat="1" applyFont="1" applyFill="1" applyBorder="1"/>
    <xf numFmtId="44" fontId="5" fillId="11" borderId="4" xfId="2" applyFont="1" applyFill="1" applyBorder="1"/>
    <xf numFmtId="165" fontId="5" fillId="11" borderId="2" xfId="1" applyNumberFormat="1" applyFont="1" applyFill="1" applyBorder="1"/>
    <xf numFmtId="44" fontId="5" fillId="11" borderId="2" xfId="2" applyFont="1" applyFill="1" applyBorder="1"/>
    <xf numFmtId="43" fontId="5" fillId="11" borderId="2" xfId="1" applyNumberFormat="1" applyFont="1" applyFill="1" applyBorder="1"/>
    <xf numFmtId="164" fontId="0" fillId="11" borderId="2" xfId="0" applyNumberFormat="1" applyFill="1" applyBorder="1"/>
    <xf numFmtId="0" fontId="17" fillId="10" borderId="8" xfId="0" applyFont="1" applyFill="1" applyBorder="1" applyAlignment="1"/>
    <xf numFmtId="0" fontId="0" fillId="10" borderId="9" xfId="0" applyFill="1" applyBorder="1"/>
    <xf numFmtId="0" fontId="0" fillId="10" borderId="10" xfId="0" applyFill="1" applyBorder="1"/>
    <xf numFmtId="0" fontId="0" fillId="12" borderId="0" xfId="0" applyFill="1"/>
    <xf numFmtId="0" fontId="22" fillId="12" borderId="19" xfId="0" applyFont="1" applyFill="1" applyBorder="1" applyAlignment="1"/>
    <xf numFmtId="0" fontId="22" fillId="12" borderId="18" xfId="0" applyFont="1" applyFill="1" applyBorder="1" applyAlignment="1"/>
    <xf numFmtId="0" fontId="22" fillId="12" borderId="34" xfId="0" applyFont="1" applyFill="1" applyBorder="1" applyAlignment="1"/>
    <xf numFmtId="0" fontId="5" fillId="0" borderId="2" xfId="0" applyFont="1" applyBorder="1" applyAlignment="1">
      <alignment wrapText="1"/>
    </xf>
    <xf numFmtId="0" fontId="5" fillId="0" borderId="2" xfId="0" applyFont="1" applyBorder="1"/>
    <xf numFmtId="0" fontId="0" fillId="13" borderId="2" xfId="0" applyFill="1" applyBorder="1"/>
    <xf numFmtId="0" fontId="1" fillId="13" borderId="2" xfId="0" applyFont="1" applyFill="1" applyBorder="1"/>
    <xf numFmtId="0" fontId="16" fillId="13" borderId="0" xfId="0" applyFont="1" applyFill="1" applyAlignment="1">
      <alignment horizontal="left" indent="4"/>
    </xf>
    <xf numFmtId="0" fontId="0" fillId="13" borderId="0" xfId="0" applyFill="1"/>
    <xf numFmtId="0" fontId="16" fillId="13" borderId="0" xfId="0" applyFont="1" applyFill="1"/>
    <xf numFmtId="0" fontId="23" fillId="0" borderId="0" xfId="0" applyFont="1"/>
    <xf numFmtId="0" fontId="24" fillId="0" borderId="0" xfId="0" applyFont="1"/>
    <xf numFmtId="0" fontId="25" fillId="0" borderId="0" xfId="0" applyFont="1"/>
    <xf numFmtId="0" fontId="12" fillId="0" borderId="2" xfId="0" applyFont="1" applyBorder="1" applyAlignment="1">
      <alignment wrapText="1"/>
    </xf>
    <xf numFmtId="0" fontId="12" fillId="0" borderId="0" xfId="0" applyFont="1" applyBorder="1" applyAlignment="1">
      <alignment wrapText="1"/>
    </xf>
    <xf numFmtId="0" fontId="12" fillId="0" borderId="0" xfId="0" applyFont="1" applyBorder="1" applyAlignment="1"/>
    <xf numFmtId="0" fontId="2" fillId="4" borderId="2" xfId="0" applyFont="1" applyFill="1" applyBorder="1" applyAlignment="1">
      <alignment vertical="top" wrapText="1"/>
    </xf>
    <xf numFmtId="0" fontId="2" fillId="4" borderId="2" xfId="0" applyFont="1" applyFill="1" applyBorder="1" applyAlignment="1">
      <alignment horizontal="right" vertical="top" wrapText="1"/>
    </xf>
    <xf numFmtId="14" fontId="2" fillId="4" borderId="2" xfId="0" applyNumberFormat="1" applyFont="1" applyFill="1" applyBorder="1" applyAlignment="1">
      <alignment vertical="top" wrapText="1"/>
    </xf>
    <xf numFmtId="8" fontId="2" fillId="4" borderId="2" xfId="0" applyNumberFormat="1" applyFont="1" applyFill="1" applyBorder="1" applyAlignment="1">
      <alignment horizontal="right" vertical="top" wrapText="1"/>
    </xf>
    <xf numFmtId="0" fontId="14" fillId="13" borderId="2" xfId="3" applyFill="1" applyBorder="1" applyAlignment="1" applyProtection="1">
      <alignment vertical="top" wrapText="1"/>
    </xf>
    <xf numFmtId="0" fontId="1" fillId="0" borderId="0" xfId="0" applyFont="1"/>
    <xf numFmtId="0" fontId="4" fillId="0" borderId="2" xfId="0" applyFont="1" applyBorder="1"/>
    <xf numFmtId="0" fontId="2" fillId="13" borderId="2" xfId="0" applyFont="1" applyFill="1" applyBorder="1" applyAlignment="1">
      <alignment vertical="top" wrapText="1"/>
    </xf>
    <xf numFmtId="0" fontId="2" fillId="13" borderId="2" xfId="0" applyFont="1" applyFill="1" applyBorder="1" applyAlignment="1">
      <alignment horizontal="right" vertical="top" wrapText="1"/>
    </xf>
    <xf numFmtId="14" fontId="2" fillId="13" borderId="2" xfId="0" applyNumberFormat="1" applyFont="1" applyFill="1" applyBorder="1" applyAlignment="1">
      <alignment horizontal="right" vertical="top" wrapText="1"/>
    </xf>
    <xf numFmtId="164" fontId="0" fillId="13" borderId="2" xfId="0" applyNumberFormat="1" applyFill="1" applyBorder="1" applyAlignment="1">
      <alignment horizontal="right" vertical="top" wrapText="1"/>
    </xf>
    <xf numFmtId="14" fontId="0" fillId="13" borderId="2" xfId="0" applyNumberFormat="1" applyFill="1" applyBorder="1"/>
    <xf numFmtId="164" fontId="0" fillId="13" borderId="2" xfId="0" applyNumberFormat="1" applyFill="1" applyBorder="1"/>
    <xf numFmtId="0" fontId="4" fillId="10" borderId="2" xfId="0" applyFont="1" applyFill="1" applyBorder="1"/>
    <xf numFmtId="10" fontId="0" fillId="0" borderId="2" xfId="4" applyNumberFormat="1" applyFont="1" applyBorder="1"/>
    <xf numFmtId="0" fontId="0" fillId="15" borderId="2" xfId="0" applyFill="1" applyBorder="1"/>
    <xf numFmtId="0" fontId="14" fillId="0" borderId="27" xfId="3" applyBorder="1" applyAlignment="1" applyProtection="1">
      <alignment vertical="top" wrapText="1"/>
    </xf>
    <xf numFmtId="0" fontId="26" fillId="0" borderId="28" xfId="3" applyFont="1" applyBorder="1" applyAlignment="1" applyProtection="1">
      <alignment vertical="top" wrapText="1"/>
    </xf>
    <xf numFmtId="0" fontId="26" fillId="0" borderId="29" xfId="3" applyFont="1" applyBorder="1" applyAlignment="1" applyProtection="1">
      <alignment vertical="top" wrapText="1"/>
    </xf>
    <xf numFmtId="0" fontId="4" fillId="0" borderId="2" xfId="0" applyFont="1" applyBorder="1" applyAlignment="1">
      <alignment horizontal="right" vertical="top" wrapText="1"/>
    </xf>
    <xf numFmtId="0" fontId="4" fillId="0" borderId="6" xfId="0" applyFont="1" applyBorder="1" applyAlignment="1">
      <alignment horizontal="right" vertical="top" wrapText="1"/>
    </xf>
    <xf numFmtId="3" fontId="4" fillId="0" borderId="6" xfId="0" applyNumberFormat="1" applyFont="1" applyBorder="1" applyAlignment="1">
      <alignment horizontal="right" vertical="top" wrapText="1"/>
    </xf>
    <xf numFmtId="10" fontId="4" fillId="0" borderId="6" xfId="0" applyNumberFormat="1" applyFont="1" applyBorder="1" applyAlignment="1">
      <alignment horizontal="right" vertical="top" wrapText="1"/>
    </xf>
    <xf numFmtId="0" fontId="27" fillId="4" borderId="2" xfId="0" applyFont="1" applyFill="1" applyBorder="1" applyAlignment="1">
      <alignment wrapText="1"/>
    </xf>
    <xf numFmtId="0" fontId="4" fillId="0" borderId="2" xfId="0" applyFont="1" applyFill="1" applyBorder="1"/>
    <xf numFmtId="0" fontId="27" fillId="4" borderId="2" xfId="0" applyFont="1" applyFill="1" applyBorder="1" applyAlignment="1">
      <alignment vertical="center" wrapText="1"/>
    </xf>
    <xf numFmtId="0" fontId="27" fillId="4" borderId="2" xfId="0" applyFont="1" applyFill="1" applyBorder="1" applyAlignment="1">
      <alignment vertical="top" wrapText="1"/>
    </xf>
    <xf numFmtId="0" fontId="4" fillId="13" borderId="2" xfId="0" applyFont="1" applyFill="1" applyBorder="1"/>
    <xf numFmtId="0" fontId="26" fillId="13" borderId="27" xfId="3" applyFont="1" applyFill="1" applyBorder="1" applyAlignment="1" applyProtection="1">
      <alignment vertical="top" wrapText="1"/>
    </xf>
    <xf numFmtId="0" fontId="26" fillId="13" borderId="28" xfId="3" applyFont="1" applyFill="1" applyBorder="1" applyAlignment="1" applyProtection="1">
      <alignment vertical="top" wrapText="1"/>
    </xf>
    <xf numFmtId="0" fontId="26" fillId="13" borderId="29" xfId="3" applyFont="1" applyFill="1" applyBorder="1" applyAlignment="1" applyProtection="1">
      <alignment vertical="top" wrapText="1"/>
    </xf>
    <xf numFmtId="0" fontId="4" fillId="13" borderId="35" xfId="0" applyFont="1" applyFill="1" applyBorder="1"/>
    <xf numFmtId="0" fontId="26" fillId="7" borderId="14" xfId="3" applyFont="1" applyFill="1" applyBorder="1" applyAlignment="1" applyProtection="1">
      <alignment horizontal="center" wrapText="1"/>
    </xf>
    <xf numFmtId="0" fontId="4" fillId="7" borderId="0" xfId="0" applyFont="1" applyFill="1"/>
    <xf numFmtId="0" fontId="28" fillId="14" borderId="16" xfId="0" applyFont="1" applyFill="1" applyBorder="1" applyAlignment="1">
      <alignment vertical="top" wrapText="1"/>
    </xf>
    <xf numFmtId="0" fontId="4" fillId="0" borderId="7" xfId="0" applyFont="1" applyBorder="1" applyAlignment="1">
      <alignment horizontal="center"/>
    </xf>
    <xf numFmtId="0" fontId="4" fillId="7" borderId="7" xfId="0" applyFont="1" applyFill="1" applyBorder="1" applyAlignment="1">
      <alignment horizontal="center"/>
    </xf>
    <xf numFmtId="0" fontId="26" fillId="0" borderId="36" xfId="3" applyFont="1" applyBorder="1" applyAlignment="1" applyProtection="1">
      <alignment vertical="top" wrapText="1"/>
    </xf>
    <xf numFmtId="0" fontId="26" fillId="0" borderId="37" xfId="3" applyFont="1" applyBorder="1" applyAlignment="1" applyProtection="1">
      <alignment vertical="top" wrapText="1"/>
    </xf>
    <xf numFmtId="0" fontId="26" fillId="0" borderId="38" xfId="3" applyFont="1" applyBorder="1" applyAlignment="1" applyProtection="1">
      <alignment vertical="top" wrapText="1"/>
    </xf>
    <xf numFmtId="0" fontId="4" fillId="7" borderId="2" xfId="0" applyFont="1" applyFill="1" applyBorder="1" applyAlignment="1">
      <alignment horizontal="left" wrapText="1"/>
    </xf>
    <xf numFmtId="0" fontId="4" fillId="7" borderId="2" xfId="0" applyFont="1" applyFill="1" applyBorder="1" applyAlignment="1">
      <alignment horizontal="center" wrapText="1"/>
    </xf>
    <xf numFmtId="164" fontId="1" fillId="0" borderId="2" xfId="0" applyNumberFormat="1" applyFont="1" applyBorder="1"/>
    <xf numFmtId="14" fontId="1" fillId="0" borderId="2" xfId="0" applyNumberFormat="1" applyFont="1" applyBorder="1"/>
    <xf numFmtId="14" fontId="0" fillId="0" borderId="0" xfId="0" applyNumberFormat="1"/>
    <xf numFmtId="2" fontId="0" fillId="0" borderId="0" xfId="0" applyNumberFormat="1"/>
    <xf numFmtId="1" fontId="0" fillId="0" borderId="0" xfId="0" applyNumberFormat="1"/>
    <xf numFmtId="43" fontId="5" fillId="0" borderId="0" xfId="1" applyNumberFormat="1" applyFont="1" applyFill="1" applyBorder="1"/>
    <xf numFmtId="165" fontId="5" fillId="0" borderId="0" xfId="1" applyNumberFormat="1" applyFont="1" applyFill="1" applyBorder="1"/>
    <xf numFmtId="0" fontId="12" fillId="0" borderId="0" xfId="0" applyFont="1" applyFill="1" applyBorder="1"/>
    <xf numFmtId="44" fontId="5" fillId="0" borderId="0" xfId="2" applyFont="1" applyFill="1" applyBorder="1"/>
    <xf numFmtId="44" fontId="5" fillId="0" borderId="0" xfId="2" applyFont="1"/>
    <xf numFmtId="0" fontId="29" fillId="0" borderId="0" xfId="0" applyFont="1"/>
    <xf numFmtId="0" fontId="4" fillId="0" borderId="2" xfId="0" applyFont="1" applyFill="1" applyBorder="1" applyAlignment="1">
      <alignment horizontal="right" vertical="top" wrapText="1"/>
    </xf>
    <xf numFmtId="0" fontId="4" fillId="0" borderId="6" xfId="0" applyFont="1" applyFill="1" applyBorder="1" applyAlignment="1">
      <alignment horizontal="right" vertical="top" wrapText="1"/>
    </xf>
    <xf numFmtId="3" fontId="4" fillId="0" borderId="6" xfId="0" applyNumberFormat="1" applyFont="1" applyFill="1" applyBorder="1" applyAlignment="1">
      <alignment horizontal="right" vertical="top" wrapText="1"/>
    </xf>
    <xf numFmtId="10" fontId="4" fillId="0" borderId="6" xfId="0" applyNumberFormat="1" applyFont="1" applyFill="1" applyBorder="1" applyAlignment="1">
      <alignment horizontal="right" vertical="top" wrapText="1"/>
    </xf>
    <xf numFmtId="0" fontId="1" fillId="6" borderId="2" xfId="0" applyFont="1" applyFill="1" applyBorder="1"/>
    <xf numFmtId="0" fontId="1" fillId="5" borderId="15" xfId="0" applyFont="1" applyFill="1" applyBorder="1" applyAlignment="1">
      <alignment wrapText="1"/>
    </xf>
    <xf numFmtId="0" fontId="30" fillId="0" borderId="0" xfId="0" applyFont="1"/>
    <xf numFmtId="43" fontId="0" fillId="10" borderId="2" xfId="1" applyFont="1" applyFill="1" applyBorder="1"/>
    <xf numFmtId="0" fontId="4" fillId="16" borderId="2" xfId="0" applyFont="1" applyFill="1" applyBorder="1"/>
    <xf numFmtId="0" fontId="1" fillId="16" borderId="2" xfId="0" applyFont="1" applyFill="1" applyBorder="1"/>
    <xf numFmtId="0" fontId="4" fillId="17" borderId="2" xfId="0" applyFont="1" applyFill="1" applyBorder="1"/>
    <xf numFmtId="0" fontId="1" fillId="17" borderId="2" xfId="0" applyFont="1" applyFill="1" applyBorder="1"/>
    <xf numFmtId="43" fontId="0" fillId="17" borderId="2" xfId="1" applyFont="1" applyFill="1" applyBorder="1"/>
    <xf numFmtId="10" fontId="0" fillId="17" borderId="2" xfId="4" applyNumberFormat="1" applyFont="1" applyFill="1" applyBorder="1"/>
    <xf numFmtId="0" fontId="4" fillId="18" borderId="2" xfId="0" applyFont="1" applyFill="1" applyBorder="1"/>
    <xf numFmtId="0" fontId="1" fillId="18" borderId="2" xfId="0" applyFont="1" applyFill="1" applyBorder="1"/>
    <xf numFmtId="10" fontId="0" fillId="18" borderId="2" xfId="4" applyNumberFormat="1" applyFont="1" applyFill="1" applyBorder="1"/>
    <xf numFmtId="43" fontId="0" fillId="18" borderId="2" xfId="1" applyFont="1" applyFill="1" applyBorder="1"/>
    <xf numFmtId="0" fontId="1" fillId="0" borderId="0" xfId="0" applyFont="1" applyFill="1"/>
    <xf numFmtId="0" fontId="18" fillId="0" borderId="0" xfId="0" applyFont="1" applyFill="1"/>
    <xf numFmtId="0" fontId="1" fillId="0" borderId="0" xfId="0" applyFont="1" applyFill="1" applyBorder="1"/>
    <xf numFmtId="0" fontId="1" fillId="0" borderId="0" xfId="0" applyFont="1" applyBorder="1" applyAlignment="1">
      <alignment vertical="top" wrapText="1"/>
    </xf>
    <xf numFmtId="0" fontId="4" fillId="0" borderId="2" xfId="0" applyFont="1" applyBorder="1" applyAlignment="1">
      <alignment vertical="top" wrapText="1"/>
    </xf>
    <xf numFmtId="0" fontId="13" fillId="0" borderId="0" xfId="0" applyFont="1" applyBorder="1"/>
    <xf numFmtId="0" fontId="0" fillId="0" borderId="0" xfId="0" applyBorder="1"/>
    <xf numFmtId="0" fontId="0" fillId="0" borderId="0" xfId="0"/>
    <xf numFmtId="164" fontId="4" fillId="0" borderId="2" xfId="0" applyNumberFormat="1" applyFont="1" applyBorder="1"/>
    <xf numFmtId="164" fontId="4" fillId="0" borderId="2" xfId="2" applyNumberFormat="1" applyFont="1" applyBorder="1"/>
    <xf numFmtId="2" fontId="4" fillId="0" borderId="2" xfId="0" applyNumberFormat="1" applyFont="1" applyBorder="1"/>
    <xf numFmtId="9" fontId="0" fillId="0" borderId="0" xfId="0" applyNumberFormat="1"/>
    <xf numFmtId="164" fontId="0" fillId="10" borderId="2" xfId="2" applyNumberFormat="1" applyFont="1" applyFill="1" applyBorder="1"/>
    <xf numFmtId="164" fontId="0" fillId="17" borderId="2" xfId="2" applyNumberFormat="1" applyFont="1" applyFill="1" applyBorder="1"/>
    <xf numFmtId="164" fontId="0" fillId="18" borderId="2" xfId="2" applyNumberFormat="1" applyFont="1" applyFill="1" applyBorder="1"/>
    <xf numFmtId="2" fontId="0" fillId="10" borderId="2" xfId="0" applyNumberFormat="1" applyFill="1" applyBorder="1"/>
    <xf numFmtId="2" fontId="0" fillId="17" borderId="2" xfId="0" applyNumberFormat="1" applyFill="1" applyBorder="1"/>
    <xf numFmtId="2" fontId="0" fillId="18" borderId="2" xfId="0" applyNumberFormat="1" applyFill="1" applyBorder="1"/>
    <xf numFmtId="10" fontId="4" fillId="0" borderId="2" xfId="4" applyNumberFormat="1" applyFont="1" applyBorder="1"/>
    <xf numFmtId="0" fontId="0" fillId="0" borderId="0" xfId="0"/>
    <xf numFmtId="0" fontId="0" fillId="0" borderId="0" xfId="0" pivotButton="1"/>
    <xf numFmtId="0" fontId="0" fillId="0" borderId="0" xfId="0" applyAlignment="1">
      <alignment horizontal="left"/>
    </xf>
    <xf numFmtId="0" fontId="0" fillId="0" borderId="0" xfId="0" applyNumberFormat="1"/>
    <xf numFmtId="9" fontId="0" fillId="16" borderId="3" xfId="4" applyFont="1" applyFill="1" applyBorder="1"/>
    <xf numFmtId="9" fontId="4" fillId="0" borderId="2" xfId="4" applyFont="1" applyBorder="1"/>
    <xf numFmtId="164" fontId="1" fillId="0" borderId="6" xfId="0" applyNumberFormat="1" applyFont="1" applyBorder="1" applyAlignment="1">
      <alignment horizontal="right" vertical="top" wrapText="1"/>
    </xf>
    <xf numFmtId="164" fontId="1" fillId="0" borderId="2" xfId="0" applyNumberFormat="1" applyFont="1" applyBorder="1" applyAlignment="1">
      <alignment horizontal="right" vertical="top" wrapText="1"/>
    </xf>
    <xf numFmtId="164" fontId="4" fillId="0" borderId="6" xfId="0" applyNumberFormat="1" applyFont="1" applyBorder="1" applyAlignment="1">
      <alignment horizontal="right" vertical="top" wrapText="1"/>
    </xf>
    <xf numFmtId="164" fontId="4" fillId="0" borderId="2" xfId="0" applyNumberFormat="1" applyFont="1" applyBorder="1" applyAlignment="1">
      <alignment horizontal="right" vertical="top" wrapText="1"/>
    </xf>
    <xf numFmtId="164" fontId="0" fillId="0" borderId="0" xfId="0" applyNumberFormat="1"/>
    <xf numFmtId="166" fontId="4" fillId="0" borderId="2" xfId="4" applyNumberFormat="1" applyFont="1" applyBorder="1"/>
    <xf numFmtId="164" fontId="1" fillId="2" borderId="2" xfId="2" applyNumberFormat="1" applyFill="1" applyBorder="1"/>
    <xf numFmtId="164" fontId="1" fillId="2" borderId="3" xfId="2" applyNumberFormat="1" applyFill="1" applyBorder="1"/>
    <xf numFmtId="9" fontId="0" fillId="2" borderId="2" xfId="0" applyNumberFormat="1" applyFill="1" applyBorder="1"/>
    <xf numFmtId="2" fontId="4" fillId="0" borderId="2" xfId="0" applyNumberFormat="1" applyFont="1" applyBorder="1" applyAlignment="1">
      <alignment horizontal="right" vertical="top" wrapText="1"/>
    </xf>
    <xf numFmtId="9" fontId="0" fillId="2" borderId="2" xfId="4" applyFont="1" applyFill="1" applyBorder="1"/>
    <xf numFmtId="9" fontId="4" fillId="2" borderId="2" xfId="4" applyFont="1" applyFill="1" applyBorder="1"/>
    <xf numFmtId="0" fontId="4" fillId="15" borderId="2" xfId="0" applyFont="1" applyFill="1" applyBorder="1"/>
    <xf numFmtId="0" fontId="4" fillId="19" borderId="5" xfId="0" applyFont="1" applyFill="1" applyBorder="1"/>
    <xf numFmtId="0" fontId="0" fillId="19" borderId="2" xfId="0" applyFill="1" applyBorder="1"/>
    <xf numFmtId="0" fontId="4" fillId="19" borderId="2" xfId="0" applyFont="1" applyFill="1" applyBorder="1"/>
    <xf numFmtId="0" fontId="11" fillId="19" borderId="2" xfId="0" applyFont="1" applyFill="1" applyBorder="1"/>
    <xf numFmtId="0" fontId="1" fillId="19" borderId="2" xfId="0" applyFont="1" applyFill="1" applyBorder="1"/>
    <xf numFmtId="0" fontId="2" fillId="19" borderId="2" xfId="0" applyFont="1" applyFill="1" applyBorder="1" applyAlignment="1">
      <alignment horizontal="left" vertical="center"/>
    </xf>
    <xf numFmtId="9" fontId="5" fillId="11" borderId="2" xfId="4" applyFont="1" applyFill="1" applyBorder="1"/>
    <xf numFmtId="0" fontId="1" fillId="11" borderId="2" xfId="0" applyFont="1" applyFill="1" applyBorder="1"/>
    <xf numFmtId="0" fontId="2" fillId="4" borderId="2" xfId="0" applyFont="1" applyFill="1" applyBorder="1" applyAlignment="1" applyProtection="1">
      <alignment vertical="top" wrapText="1"/>
    </xf>
    <xf numFmtId="9" fontId="5" fillId="11" borderId="4" xfId="4" applyFont="1" applyFill="1" applyBorder="1"/>
    <xf numFmtId="164" fontId="5" fillId="11" borderId="4" xfId="2" applyNumberFormat="1" applyFont="1" applyFill="1" applyBorder="1"/>
    <xf numFmtId="0" fontId="4" fillId="0" borderId="0" xfId="0" applyFont="1" applyBorder="1"/>
    <xf numFmtId="164" fontId="1" fillId="0" borderId="0" xfId="0" applyNumberFormat="1" applyFont="1" applyBorder="1" applyAlignment="1">
      <alignment horizontal="right" vertical="top" wrapText="1"/>
    </xf>
    <xf numFmtId="0" fontId="1" fillId="0" borderId="0" xfId="0" applyFont="1" applyBorder="1" applyAlignment="1">
      <alignment horizontal="right" vertical="top" wrapText="1"/>
    </xf>
    <xf numFmtId="164" fontId="4" fillId="0" borderId="0" xfId="0" applyNumberFormat="1" applyFont="1" applyBorder="1"/>
    <xf numFmtId="9" fontId="4" fillId="0" borderId="0" xfId="4" applyFont="1" applyBorder="1"/>
    <xf numFmtId="0" fontId="1" fillId="0" borderId="0" xfId="3" applyFont="1" applyFill="1" applyBorder="1" applyAlignment="1" applyProtection="1">
      <alignment vertical="top" wrapText="1"/>
    </xf>
    <xf numFmtId="0" fontId="4" fillId="0" borderId="0" xfId="0" applyFont="1" applyFill="1" applyBorder="1"/>
    <xf numFmtId="0" fontId="14" fillId="0" borderId="0" xfId="3" applyFill="1" applyBorder="1" applyAlignment="1" applyProtection="1">
      <alignment vertical="top" wrapText="1"/>
    </xf>
    <xf numFmtId="164" fontId="0" fillId="0" borderId="0" xfId="0" applyNumberFormat="1" applyFill="1" applyBorder="1" applyAlignment="1">
      <alignment horizontal="right" vertical="top" wrapText="1"/>
    </xf>
    <xf numFmtId="164" fontId="1" fillId="0" borderId="0" xfId="0" applyNumberFormat="1" applyFont="1" applyFill="1" applyBorder="1" applyAlignment="1">
      <alignment horizontal="right" vertical="top" wrapText="1"/>
    </xf>
    <xf numFmtId="0" fontId="1" fillId="0" borderId="0" xfId="0" applyFont="1" applyFill="1" applyBorder="1" applyAlignment="1">
      <alignment horizontal="right" vertical="top" wrapText="1"/>
    </xf>
    <xf numFmtId="164" fontId="4" fillId="0" borderId="0" xfId="0" applyNumberFormat="1" applyFont="1" applyFill="1" applyBorder="1"/>
    <xf numFmtId="9" fontId="4" fillId="0" borderId="0" xfId="4" applyFont="1" applyFill="1" applyBorder="1"/>
    <xf numFmtId="2" fontId="4" fillId="0" borderId="0" xfId="0" applyNumberFormat="1" applyFont="1" applyFill="1" applyBorder="1" applyAlignment="1">
      <alignment horizontal="right" vertical="top" wrapText="1"/>
    </xf>
    <xf numFmtId="166" fontId="4" fillId="0" borderId="0" xfId="4" applyNumberFormat="1" applyFont="1" applyFill="1" applyBorder="1"/>
    <xf numFmtId="164" fontId="4" fillId="0" borderId="0" xfId="0" applyNumberFormat="1" applyFont="1" applyFill="1" applyBorder="1" applyAlignment="1">
      <alignment horizontal="right" vertical="top" wrapText="1"/>
    </xf>
    <xf numFmtId="0" fontId="4" fillId="0" borderId="0" xfId="0" applyFont="1" applyFill="1" applyBorder="1" applyAlignment="1">
      <alignment horizontal="right" vertical="top" wrapText="1"/>
    </xf>
    <xf numFmtId="0" fontId="2" fillId="0" borderId="0" xfId="0" applyFont="1" applyFill="1" applyBorder="1" applyAlignment="1">
      <alignment wrapText="1"/>
    </xf>
    <xf numFmtId="14" fontId="2" fillId="0" borderId="0" xfId="0" applyNumberFormat="1" applyFont="1" applyFill="1" applyBorder="1" applyAlignment="1">
      <alignment vertical="top" wrapText="1"/>
    </xf>
    <xf numFmtId="14" fontId="0" fillId="0" borderId="0" xfId="0" applyNumberFormat="1" applyFill="1" applyBorder="1"/>
    <xf numFmtId="8" fontId="0" fillId="0" borderId="0" xfId="0" applyNumberFormat="1" applyFill="1" applyBorder="1" applyAlignment="1">
      <alignment horizontal="right"/>
    </xf>
    <xf numFmtId="14" fontId="1" fillId="0" borderId="0" xfId="0" applyNumberFormat="1" applyFont="1" applyFill="1" applyBorder="1"/>
    <xf numFmtId="164" fontId="1" fillId="0" borderId="0" xfId="0" applyNumberFormat="1" applyFont="1" applyFill="1" applyBorder="1"/>
    <xf numFmtId="164" fontId="0" fillId="0" borderId="0" xfId="0" applyNumberFormat="1" applyFill="1" applyBorder="1"/>
    <xf numFmtId="9" fontId="0" fillId="11" borderId="2" xfId="4" applyFont="1" applyFill="1" applyBorder="1"/>
    <xf numFmtId="2" fontId="0" fillId="11" borderId="2" xfId="0" applyNumberFormat="1" applyFill="1" applyBorder="1"/>
    <xf numFmtId="164" fontId="0" fillId="0" borderId="2" xfId="0" applyNumberFormat="1" applyBorder="1"/>
    <xf numFmtId="9" fontId="0" fillId="0" borderId="2" xfId="4" applyFont="1" applyBorder="1"/>
    <xf numFmtId="0" fontId="2" fillId="0" borderId="2" xfId="0" applyFont="1" applyFill="1" applyBorder="1" applyAlignment="1">
      <alignment vertical="top" wrapText="1"/>
    </xf>
    <xf numFmtId="0" fontId="2" fillId="0" borderId="2" xfId="0" applyFont="1" applyFill="1" applyBorder="1" applyAlignment="1">
      <alignment horizontal="right" vertical="top" wrapText="1"/>
    </xf>
    <xf numFmtId="164" fontId="4" fillId="0" borderId="2" xfId="0" applyNumberFormat="1" applyFont="1" applyFill="1" applyBorder="1"/>
    <xf numFmtId="0" fontId="27" fillId="0" borderId="2" xfId="0" applyFont="1" applyFill="1" applyBorder="1" applyAlignment="1">
      <alignment vertical="top" wrapText="1"/>
    </xf>
    <xf numFmtId="0" fontId="1" fillId="0" borderId="2" xfId="0" applyFont="1" applyFill="1" applyBorder="1"/>
    <xf numFmtId="164" fontId="4" fillId="0" borderId="0" xfId="2" applyNumberFormat="1" applyFont="1" applyBorder="1"/>
    <xf numFmtId="2" fontId="4" fillId="0" borderId="0" xfId="0" applyNumberFormat="1" applyFont="1" applyBorder="1"/>
    <xf numFmtId="10" fontId="4" fillId="0" borderId="0" xfId="4" applyNumberFormat="1" applyFont="1" applyBorder="1"/>
    <xf numFmtId="3" fontId="1" fillId="0" borderId="0" xfId="0" applyNumberFormat="1" applyFont="1" applyFill="1" applyBorder="1" applyAlignment="1">
      <alignment horizontal="right" vertical="top" wrapText="1"/>
    </xf>
    <xf numFmtId="0" fontId="33" fillId="19" borderId="2" xfId="0" applyFont="1" applyFill="1" applyBorder="1"/>
    <xf numFmtId="0" fontId="32" fillId="19" borderId="2" xfId="0" applyFont="1" applyFill="1" applyBorder="1"/>
    <xf numFmtId="0" fontId="2" fillId="0" borderId="0" xfId="0" applyFont="1" applyFill="1" applyBorder="1" applyAlignment="1" applyProtection="1">
      <alignment vertical="top" wrapText="1"/>
    </xf>
    <xf numFmtId="164" fontId="4" fillId="0" borderId="0" xfId="2" applyNumberFormat="1" applyFont="1" applyFill="1" applyBorder="1"/>
    <xf numFmtId="2" fontId="4" fillId="0" borderId="0" xfId="0" applyNumberFormat="1" applyFont="1" applyFill="1" applyBorder="1"/>
    <xf numFmtId="10" fontId="4" fillId="0" borderId="0" xfId="4" applyNumberFormat="1" applyFont="1" applyFill="1" applyBorder="1"/>
    <xf numFmtId="9" fontId="1" fillId="0" borderId="0" xfId="0" applyNumberFormat="1" applyFont="1" applyFill="1" applyBorder="1"/>
    <xf numFmtId="0" fontId="0" fillId="0" borderId="0" xfId="0"/>
    <xf numFmtId="0" fontId="1" fillId="0" borderId="0" xfId="0" applyNumberFormat="1" applyFont="1" applyFill="1" applyBorder="1"/>
    <xf numFmtId="9" fontId="1" fillId="0" borderId="0" xfId="4" applyFont="1" applyFill="1" applyBorder="1"/>
    <xf numFmtId="164" fontId="1" fillId="10" borderId="2" xfId="0" applyNumberFormat="1" applyFont="1" applyFill="1" applyBorder="1" applyAlignment="1">
      <alignment horizontal="right" vertical="top" wrapText="1"/>
    </xf>
    <xf numFmtId="44" fontId="1" fillId="0" borderId="0" xfId="2" applyFont="1" applyFill="1" applyBorder="1"/>
    <xf numFmtId="164" fontId="1" fillId="0" borderId="6" xfId="2" applyNumberFormat="1" applyFont="1" applyBorder="1" applyAlignment="1">
      <alignment horizontal="right" vertical="top" wrapText="1"/>
    </xf>
    <xf numFmtId="0" fontId="0" fillId="0" borderId="0" xfId="0" applyFill="1" applyBorder="1" applyAlignment="1"/>
    <xf numFmtId="0" fontId="34" fillId="20" borderId="39" xfId="0" applyFont="1" applyFill="1" applyBorder="1" applyAlignment="1">
      <alignment horizontal="left"/>
    </xf>
    <xf numFmtId="0" fontId="34" fillId="20" borderId="18" xfId="0" applyFont="1" applyFill="1" applyBorder="1" applyAlignment="1">
      <alignment horizontal="left"/>
    </xf>
    <xf numFmtId="0" fontId="0" fillId="0" borderId="40" xfId="0" applyFill="1" applyBorder="1" applyAlignment="1"/>
    <xf numFmtId="0" fontId="35" fillId="21" borderId="0" xfId="0" applyFont="1" applyFill="1" applyBorder="1" applyAlignment="1">
      <alignment horizontal="left"/>
    </xf>
    <xf numFmtId="0" fontId="36" fillId="21" borderId="40" xfId="0" applyFont="1" applyFill="1" applyBorder="1" applyAlignment="1">
      <alignment horizontal="left"/>
    </xf>
    <xf numFmtId="0" fontId="35" fillId="21" borderId="20" xfId="0" applyFont="1" applyFill="1" applyBorder="1" applyAlignment="1">
      <alignment horizontal="left"/>
    </xf>
    <xf numFmtId="0" fontId="37" fillId="20" borderId="18" xfId="0" applyFont="1" applyFill="1" applyBorder="1" applyAlignment="1">
      <alignment horizontal="right"/>
    </xf>
    <xf numFmtId="0" fontId="37" fillId="20" borderId="39" xfId="0" applyFont="1" applyFill="1" applyBorder="1" applyAlignment="1">
      <alignment horizontal="right"/>
    </xf>
    <xf numFmtId="0" fontId="0" fillId="22" borderId="0" xfId="0" applyFill="1" applyBorder="1" applyAlignment="1"/>
    <xf numFmtId="10" fontId="0" fillId="0" borderId="20" xfId="0" applyNumberFormat="1" applyFill="1" applyBorder="1" applyAlignment="1"/>
    <xf numFmtId="10" fontId="0" fillId="16" borderId="3" xfId="4" applyNumberFormat="1" applyFont="1" applyFill="1" applyBorder="1"/>
    <xf numFmtId="0" fontId="0" fillId="0" borderId="2" xfId="0" applyBorder="1" applyAlignment="1">
      <alignment wrapText="1"/>
    </xf>
    <xf numFmtId="0" fontId="5" fillId="11" borderId="4" xfId="4" applyNumberFormat="1" applyFont="1" applyFill="1" applyBorder="1"/>
    <xf numFmtId="43" fontId="5" fillId="11" borderId="4" xfId="1" applyNumberFormat="1" applyFont="1" applyFill="1" applyBorder="1"/>
    <xf numFmtId="164" fontId="0" fillId="0" borderId="6" xfId="0" applyNumberFormat="1" applyBorder="1"/>
    <xf numFmtId="0" fontId="1" fillId="0" borderId="0" xfId="0" applyFont="1" applyAlignment="1">
      <alignment wrapText="1"/>
    </xf>
    <xf numFmtId="0" fontId="6" fillId="0" borderId="8" xfId="0" applyFont="1" applyBorder="1" applyAlignment="1">
      <alignment horizontal="center"/>
    </xf>
    <xf numFmtId="0" fontId="6" fillId="0" borderId="9" xfId="0" applyFont="1" applyBorder="1" applyAlignment="1">
      <alignment horizontal="center"/>
    </xf>
    <xf numFmtId="0" fontId="6" fillId="0" borderId="10" xfId="0" applyFont="1" applyBorder="1" applyAlignment="1">
      <alignment horizontal="center"/>
    </xf>
    <xf numFmtId="0" fontId="4" fillId="3" borderId="21" xfId="0" applyFont="1" applyFill="1" applyBorder="1" applyAlignment="1">
      <alignment horizontal="center"/>
    </xf>
    <xf numFmtId="0" fontId="4" fillId="3" borderId="22" xfId="0" applyFont="1" applyFill="1" applyBorder="1" applyAlignment="1">
      <alignment horizontal="center"/>
    </xf>
    <xf numFmtId="0" fontId="4" fillId="3" borderId="23" xfId="0" applyFont="1" applyFill="1" applyBorder="1" applyAlignment="1">
      <alignment horizontal="center"/>
    </xf>
    <xf numFmtId="0" fontId="4" fillId="3" borderId="24" xfId="0" applyFont="1" applyFill="1" applyBorder="1" applyAlignment="1">
      <alignment horizontal="center"/>
    </xf>
    <xf numFmtId="0" fontId="4" fillId="3" borderId="25" xfId="0" applyFont="1" applyFill="1" applyBorder="1" applyAlignment="1">
      <alignment horizontal="center"/>
    </xf>
    <xf numFmtId="0" fontId="4" fillId="3" borderId="26" xfId="0" applyFont="1" applyFill="1" applyBorder="1" applyAlignment="1">
      <alignment horizontal="center"/>
    </xf>
    <xf numFmtId="0" fontId="14" fillId="7" borderId="2" xfId="3" applyFill="1" applyBorder="1" applyAlignment="1" applyProtection="1">
      <alignment wrapText="1"/>
    </xf>
    <xf numFmtId="0" fontId="1" fillId="0" borderId="2" xfId="0" applyFont="1" applyBorder="1" applyAlignment="1">
      <alignment horizontal="left" vertical="center" wrapText="1"/>
    </xf>
    <xf numFmtId="0" fontId="0" fillId="0" borderId="0" xfId="0" applyAlignment="1">
      <alignment horizontal="left" vertical="center" wrapText="1"/>
    </xf>
    <xf numFmtId="0" fontId="1" fillId="0" borderId="0" xfId="0" applyFont="1" applyAlignment="1">
      <alignment horizontal="left" vertical="center" wrapText="1"/>
    </xf>
    <xf numFmtId="0" fontId="19" fillId="9" borderId="32" xfId="0" applyFont="1" applyFill="1" applyBorder="1" applyAlignment="1">
      <alignment wrapText="1"/>
    </xf>
    <xf numFmtId="0" fontId="19" fillId="9" borderId="17" xfId="0" applyFont="1" applyFill="1" applyBorder="1" applyAlignment="1">
      <alignment wrapText="1"/>
    </xf>
    <xf numFmtId="0" fontId="26" fillId="0" borderId="33" xfId="3" applyFont="1" applyBorder="1" applyAlignment="1" applyProtection="1">
      <alignment wrapText="1"/>
    </xf>
    <xf numFmtId="0" fontId="26" fillId="0" borderId="18" xfId="3" applyFont="1" applyBorder="1" applyAlignment="1" applyProtection="1">
      <alignment wrapText="1"/>
    </xf>
    <xf numFmtId="0" fontId="26" fillId="7" borderId="19" xfId="3" applyFont="1" applyFill="1" applyBorder="1" applyAlignment="1" applyProtection="1">
      <alignment horizontal="center" wrapText="1"/>
    </xf>
    <xf numFmtId="0" fontId="26" fillId="7" borderId="18" xfId="3" applyFont="1" applyFill="1" applyBorder="1" applyAlignment="1" applyProtection="1">
      <alignment horizontal="center" wrapText="1"/>
    </xf>
    <xf numFmtId="0" fontId="26" fillId="7" borderId="30" xfId="3" applyFont="1" applyFill="1" applyBorder="1" applyAlignment="1" applyProtection="1">
      <alignment horizontal="center" wrapText="1"/>
    </xf>
    <xf numFmtId="0" fontId="28" fillId="14" borderId="16" xfId="0" applyFont="1" applyFill="1" applyBorder="1" applyAlignment="1">
      <alignment vertical="top" wrapText="1"/>
    </xf>
    <xf numFmtId="0" fontId="28" fillId="14" borderId="20" xfId="0" applyFont="1" applyFill="1" applyBorder="1" applyAlignment="1">
      <alignment vertical="top" wrapText="1"/>
    </xf>
    <xf numFmtId="0" fontId="28" fillId="14" borderId="31" xfId="0" applyFont="1" applyFill="1" applyBorder="1" applyAlignment="1">
      <alignment vertical="top" wrapText="1"/>
    </xf>
    <xf numFmtId="0" fontId="20" fillId="0" borderId="0" xfId="0" applyFont="1" applyAlignment="1">
      <alignment horizontal="left"/>
    </xf>
    <xf numFmtId="0" fontId="6" fillId="3" borderId="8" xfId="0" applyFont="1" applyFill="1" applyBorder="1" applyAlignment="1">
      <alignment horizontal="center"/>
    </xf>
    <xf numFmtId="0" fontId="6" fillId="3" borderId="9" xfId="0" applyFont="1" applyFill="1" applyBorder="1" applyAlignment="1">
      <alignment horizontal="center"/>
    </xf>
    <xf numFmtId="0" fontId="6" fillId="3" borderId="10" xfId="0" applyFont="1" applyFill="1" applyBorder="1" applyAlignment="1">
      <alignment horizontal="center"/>
    </xf>
    <xf numFmtId="0" fontId="21" fillId="0" borderId="0" xfId="0" applyFont="1" applyAlignment="1">
      <alignment horizontal="center"/>
    </xf>
    <xf numFmtId="0" fontId="5" fillId="0" borderId="0" xfId="0" applyFont="1" applyFill="1" applyAlignment="1">
      <alignment horizontal="center"/>
    </xf>
    <xf numFmtId="0" fontId="4" fillId="6" borderId="3" xfId="0" applyFont="1" applyFill="1" applyBorder="1" applyAlignment="1">
      <alignment horizontal="left"/>
    </xf>
    <xf numFmtId="0" fontId="4" fillId="6" borderId="6" xfId="0" applyFont="1" applyFill="1" applyBorder="1" applyAlignment="1">
      <alignment horizontal="left"/>
    </xf>
    <xf numFmtId="0" fontId="5" fillId="0" borderId="0" xfId="0" applyFont="1" applyAlignment="1">
      <alignment horizontal="left"/>
    </xf>
    <xf numFmtId="0" fontId="1" fillId="0" borderId="0" xfId="0" applyFont="1" applyAlignment="1">
      <alignment horizontal="center"/>
    </xf>
    <xf numFmtId="0" fontId="0" fillId="0" borderId="0" xfId="0" applyAlignment="1">
      <alignment horizontal="center"/>
    </xf>
    <xf numFmtId="0" fontId="4" fillId="10" borderId="0" xfId="0" applyFont="1" applyFill="1" applyAlignment="1">
      <alignment horizontal="center"/>
    </xf>
    <xf numFmtId="0" fontId="31" fillId="10" borderId="0" xfId="0" applyFont="1" applyFill="1"/>
    <xf numFmtId="0" fontId="0" fillId="0" borderId="0" xfId="0"/>
    <xf numFmtId="0" fontId="29" fillId="0" borderId="0" xfId="0" applyNumberFormat="1" applyFont="1" applyAlignment="1">
      <alignment horizontal="center"/>
    </xf>
    <xf numFmtId="0" fontId="1" fillId="8" borderId="0" xfId="0" applyFont="1" applyFill="1" applyAlignment="1" applyProtection="1">
      <alignment horizontal="center"/>
      <protection hidden="1"/>
    </xf>
    <xf numFmtId="0" fontId="4" fillId="0" borderId="2" xfId="0" applyFont="1" applyFill="1" applyBorder="1" applyAlignment="1">
      <alignment horizontal="right"/>
    </xf>
    <xf numFmtId="164" fontId="4" fillId="0" borderId="2" xfId="0" applyNumberFormat="1" applyFont="1" applyBorder="1" applyAlignment="1">
      <alignment horizontal="right"/>
    </xf>
    <xf numFmtId="164" fontId="1" fillId="0" borderId="2" xfId="2" applyNumberFormat="1" applyFont="1" applyBorder="1"/>
    <xf numFmtId="0" fontId="0" fillId="0" borderId="44" xfId="0" applyFill="1" applyBorder="1" applyAlignment="1"/>
    <xf numFmtId="0" fontId="38" fillId="0" borderId="43" xfId="0" applyFont="1" applyFill="1" applyBorder="1" applyAlignment="1">
      <alignment horizontal="center"/>
    </xf>
    <xf numFmtId="0" fontId="0" fillId="0" borderId="45" xfId="0" applyFill="1" applyBorder="1" applyAlignment="1"/>
    <xf numFmtId="9" fontId="0" fillId="0" borderId="44" xfId="0" applyNumberFormat="1" applyFill="1" applyBorder="1" applyAlignment="1"/>
    <xf numFmtId="0" fontId="0" fillId="0" borderId="45" xfId="0" applyNumberFormat="1" applyFill="1" applyBorder="1" applyAlignment="1"/>
    <xf numFmtId="0" fontId="0" fillId="0" borderId="44" xfId="0" applyNumberFormat="1" applyFill="1" applyBorder="1" applyAlignment="1"/>
    <xf numFmtId="9" fontId="0" fillId="0" borderId="45" xfId="0" applyNumberFormat="1" applyFill="1" applyBorder="1" applyAlignment="1"/>
    <xf numFmtId="0" fontId="38" fillId="0" borderId="41" xfId="0" applyFont="1" applyFill="1" applyBorder="1" applyAlignment="1">
      <alignment horizontal="center"/>
    </xf>
    <xf numFmtId="0" fontId="38" fillId="0" borderId="42" xfId="0" applyFont="1" applyFill="1" applyBorder="1" applyAlignment="1">
      <alignment horizontal="center"/>
    </xf>
    <xf numFmtId="0" fontId="0" fillId="0" borderId="0" xfId="0" applyAlignment="1"/>
    <xf numFmtId="0" fontId="1" fillId="0" borderId="0" xfId="0" applyFont="1" applyAlignment="1">
      <alignment horizontal="center" wrapText="1"/>
    </xf>
    <xf numFmtId="0" fontId="1" fillId="0" borderId="0" xfId="0" applyFont="1" applyAlignment="1">
      <alignment horizontal="left" wrapText="1"/>
    </xf>
    <xf numFmtId="0" fontId="1" fillId="0" borderId="3" xfId="0" applyFont="1" applyBorder="1" applyAlignment="1">
      <alignment horizontal="center" vertical="center"/>
    </xf>
    <xf numFmtId="0" fontId="1" fillId="0" borderId="6" xfId="0" applyFont="1" applyBorder="1" applyAlignment="1">
      <alignment horizontal="center" vertical="center"/>
    </xf>
    <xf numFmtId="0" fontId="12" fillId="0" borderId="2" xfId="0" applyFont="1" applyBorder="1" applyAlignment="1">
      <alignment horizontal="left"/>
    </xf>
    <xf numFmtId="0" fontId="1" fillId="0" borderId="2" xfId="0" applyFont="1" applyBorder="1" applyAlignment="1">
      <alignment wrapText="1"/>
    </xf>
    <xf numFmtId="0" fontId="1" fillId="0" borderId="0" xfId="0" applyFont="1" applyBorder="1" applyAlignment="1">
      <alignment wrapText="1"/>
    </xf>
    <xf numFmtId="0" fontId="1" fillId="0" borderId="0" xfId="0" applyFont="1" applyBorder="1" applyAlignment="1">
      <alignment horizontal="center" wrapText="1"/>
    </xf>
    <xf numFmtId="0" fontId="0" fillId="0" borderId="0" xfId="0" applyAlignment="1">
      <alignment horizontal="center" wrapText="1"/>
    </xf>
    <xf numFmtId="0" fontId="0" fillId="0" borderId="0" xfId="0" applyAlignment="1">
      <alignment horizontal="left" wrapText="1"/>
    </xf>
    <xf numFmtId="0" fontId="2" fillId="0" borderId="0" xfId="0" applyFont="1" applyFill="1" applyBorder="1" applyAlignment="1">
      <alignment horizontal="left" wrapText="1"/>
    </xf>
  </cellXfs>
  <cellStyles count="5">
    <cellStyle name="Comma" xfId="1" builtinId="3"/>
    <cellStyle name="Currency" xfId="2" builtinId="4"/>
    <cellStyle name="Hyperlink" xfId="3" builtinId="8"/>
    <cellStyle name="Normal" xfId="0" builtinId="0"/>
    <cellStyle name="Percent" xfId="4" builtinId="5"/>
  </cellStyles>
  <dxfs count="4">
    <dxf>
      <font>
        <color rgb="FF006100"/>
      </font>
      <fill>
        <patternFill>
          <bgColor rgb="FFC6EFCE"/>
        </patternFill>
      </fill>
    </dxf>
    <dxf>
      <numFmt numFmtId="164" formatCode="&quot;$&quot;#,##0.00"/>
    </dxf>
    <dxf>
      <numFmt numFmtId="13" formatCode="0%"/>
    </dxf>
    <dxf>
      <numFmt numFmtId="2" formatCode="0.00"/>
    </dxf>
  </dxfs>
  <tableStyles count="0" defaultTableStyle="TableStyleMedium2" defaultPivotStyle="PivotStyleLight16"/>
  <colors>
    <mruColors>
      <color rgb="FFFFFF99"/>
      <color rgb="FF3366FF"/>
      <color rgb="FFFFFFCC"/>
      <color rgb="FFCC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eetMetadata" Target="metadata.xml"/><Relationship Id="rId21" Type="http://schemas.openxmlformats.org/officeDocument/2006/relationships/worksheet" Target="worksheets/sheet21.xml"/><Relationship Id="rId34" Type="http://schemas.openxmlformats.org/officeDocument/2006/relationships/pivotCacheDefinition" Target="pivotCache/pivotCacheDefinition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1.xml"/><Relationship Id="rId38"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[Agbenorhevi_DSO401_FinalCase.xlsm]TYD7-PieChart!PivotTable4</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LblPos val="outEnd"/>
          <c:showLegendKey val="0"/>
          <c:showVal val="0"/>
          <c:showCatName val="0"/>
          <c:showSerName val="0"/>
          <c:showPercent val="1"/>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LblPos val="outEnd"/>
          <c:showLegendKey val="0"/>
          <c:showVal val="0"/>
          <c:showCatName val="0"/>
          <c:showSerName val="0"/>
          <c:showPercent val="1"/>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dLblPos val="outEnd"/>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dLblPos val="outEnd"/>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dLblPos val="outEnd"/>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dLblPos val="outEnd"/>
          <c:showLegendKey val="0"/>
          <c:showVal val="0"/>
          <c:showCatName val="0"/>
          <c:showSerName val="0"/>
          <c:showPercent val="1"/>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dLblPos val="outEnd"/>
          <c:showLegendKey val="0"/>
          <c:showVal val="0"/>
          <c:showCatName val="0"/>
          <c:showSerName val="0"/>
          <c:showPercent val="1"/>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dLblPos val="outEnd"/>
          <c:showLegendKey val="0"/>
          <c:showVal val="0"/>
          <c:showCatName val="0"/>
          <c:showSerName val="0"/>
          <c:showPercent val="1"/>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dLblPos val="outEnd"/>
          <c:showLegendKey val="0"/>
          <c:showVal val="0"/>
          <c:showCatName val="0"/>
          <c:showSerName val="0"/>
          <c:showPercent val="1"/>
          <c:showBubbleSize val="0"/>
          <c:extLst>
            <c:ext xmlns:c15="http://schemas.microsoft.com/office/drawing/2012/chart" uri="{CE6537A1-D6FC-4f65-9D91-7224C49458BB}"/>
          </c:extLst>
        </c:dLbl>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pivotFmt>
      <c:pivotFmt>
        <c:idx val="19"/>
        <c:spPr>
          <a:solidFill>
            <a:schemeClr val="accent1"/>
          </a:solidFill>
          <a:ln>
            <a:noFill/>
          </a:ln>
          <a:effectLst/>
        </c:spPr>
      </c:pivotFmt>
      <c:pivotFmt>
        <c:idx val="20"/>
        <c:spPr>
          <a:solidFill>
            <a:schemeClr val="accent1"/>
          </a:solidFill>
          <a:ln>
            <a:noFill/>
          </a:ln>
          <a:effectLst/>
        </c:spPr>
      </c:pivotFmt>
    </c:pivotFmts>
    <c:plotArea>
      <c:layout/>
      <c:pieChart>
        <c:varyColors val="1"/>
        <c:ser>
          <c:idx val="0"/>
          <c:order val="0"/>
          <c:tx>
            <c:strRef>
              <c:f>'TYD7-PieChart'!$B$3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7FF4-2840-9189-50F661B03E64}"/>
              </c:ext>
            </c:extLst>
          </c:dPt>
          <c:dPt>
            <c:idx val="1"/>
            <c:bubble3D val="0"/>
            <c:spPr>
              <a:solidFill>
                <a:schemeClr val="accent2"/>
              </a:solidFill>
              <a:ln>
                <a:noFill/>
              </a:ln>
              <a:effectLst/>
            </c:spPr>
            <c:extLst>
              <c:ext xmlns:c16="http://schemas.microsoft.com/office/drawing/2014/chart" uri="{C3380CC4-5D6E-409C-BE32-E72D297353CC}">
                <c16:uniqueId val="{00000003-7FF4-2840-9189-50F661B03E64}"/>
              </c:ext>
            </c:extLst>
          </c:dPt>
          <c:dPt>
            <c:idx val="2"/>
            <c:bubble3D val="0"/>
            <c:spPr>
              <a:solidFill>
                <a:schemeClr val="accent3"/>
              </a:solidFill>
              <a:ln>
                <a:noFill/>
              </a:ln>
              <a:effectLst/>
            </c:spPr>
            <c:extLst>
              <c:ext xmlns:c16="http://schemas.microsoft.com/office/drawing/2014/chart" uri="{C3380CC4-5D6E-409C-BE32-E72D297353CC}">
                <c16:uniqueId val="{00000005-7FF4-2840-9189-50F661B03E64}"/>
              </c:ext>
            </c:extLst>
          </c:dPt>
          <c:dPt>
            <c:idx val="3"/>
            <c:bubble3D val="0"/>
            <c:spPr>
              <a:solidFill>
                <a:schemeClr val="accent4"/>
              </a:solidFill>
              <a:ln>
                <a:noFill/>
              </a:ln>
              <a:effectLst/>
            </c:spPr>
            <c:extLst>
              <c:ext xmlns:c16="http://schemas.microsoft.com/office/drawing/2014/chart" uri="{C3380CC4-5D6E-409C-BE32-E72D297353CC}">
                <c16:uniqueId val="{00000007-7FF4-2840-9189-50F661B03E64}"/>
              </c:ext>
            </c:extLst>
          </c:dPt>
          <c:dPt>
            <c:idx val="4"/>
            <c:bubble3D val="0"/>
            <c:spPr>
              <a:solidFill>
                <a:schemeClr val="accent5"/>
              </a:solidFill>
              <a:ln>
                <a:noFill/>
              </a:ln>
              <a:effectLst/>
            </c:spPr>
            <c:extLst>
              <c:ext xmlns:c16="http://schemas.microsoft.com/office/drawing/2014/chart" uri="{C3380CC4-5D6E-409C-BE32-E72D297353CC}">
                <c16:uniqueId val="{00000009-7FF4-2840-9189-50F661B03E64}"/>
              </c:ext>
            </c:extLst>
          </c:dPt>
          <c:dPt>
            <c:idx val="5"/>
            <c:bubble3D val="0"/>
            <c:spPr>
              <a:solidFill>
                <a:schemeClr val="accent6"/>
              </a:solidFill>
              <a:ln>
                <a:noFill/>
              </a:ln>
              <a:effectLst/>
            </c:spPr>
            <c:extLst>
              <c:ext xmlns:c16="http://schemas.microsoft.com/office/drawing/2014/chart" uri="{C3380CC4-5D6E-409C-BE32-E72D297353CC}">
                <c16:uniqueId val="{0000000B-7FF4-2840-9189-50F661B03E64}"/>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7FF4-2840-9189-50F661B03E64}"/>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7FF4-2840-9189-50F661B03E64}"/>
              </c:ext>
            </c:extLst>
          </c:dPt>
          <c:dPt>
            <c:idx val="8"/>
            <c:bubble3D val="0"/>
            <c:spPr>
              <a:solidFill>
                <a:schemeClr val="accent3">
                  <a:lumMod val="60000"/>
                </a:schemeClr>
              </a:solidFill>
              <a:ln>
                <a:noFill/>
              </a:ln>
              <a:effectLst/>
            </c:spPr>
            <c:extLst>
              <c:ext xmlns:c16="http://schemas.microsoft.com/office/drawing/2014/chart" uri="{C3380CC4-5D6E-409C-BE32-E72D297353CC}">
                <c16:uniqueId val="{00000011-7FF4-2840-9189-50F661B03E64}"/>
              </c:ext>
            </c:extLst>
          </c:dPt>
          <c:dPt>
            <c:idx val="9"/>
            <c:bubble3D val="0"/>
            <c:spPr>
              <a:solidFill>
                <a:schemeClr val="accent4">
                  <a:lumMod val="60000"/>
                </a:schemeClr>
              </a:solidFill>
              <a:ln>
                <a:noFill/>
              </a:ln>
              <a:effectLst/>
            </c:spPr>
            <c:extLst>
              <c:ext xmlns:c16="http://schemas.microsoft.com/office/drawing/2014/chart" uri="{C3380CC4-5D6E-409C-BE32-E72D297353CC}">
                <c16:uniqueId val="{00000013-7FF4-2840-9189-50F661B03E6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'TYD7-PieChart'!$A$4:$A$14</c:f>
              <c:strCache>
                <c:ptCount val="10"/>
                <c:pt idx="0">
                  <c:v>Aerospace/Defense</c:v>
                </c:pt>
                <c:pt idx="1">
                  <c:v>Computers</c:v>
                </c:pt>
                <c:pt idx="2">
                  <c:v>Foods</c:v>
                </c:pt>
                <c:pt idx="3">
                  <c:v>Health Care</c:v>
                </c:pt>
                <c:pt idx="4">
                  <c:v>Insurance</c:v>
                </c:pt>
                <c:pt idx="5">
                  <c:v>Iron and Steel</c:v>
                </c:pt>
                <c:pt idx="6">
                  <c:v>Leisure Time</c:v>
                </c:pt>
                <c:pt idx="7">
                  <c:v>Manufacturing</c:v>
                </c:pt>
                <c:pt idx="8">
                  <c:v>Oil &amp; Gas</c:v>
                </c:pt>
                <c:pt idx="9">
                  <c:v>Retail</c:v>
                </c:pt>
              </c:strCache>
            </c:strRef>
          </c:cat>
          <c:val>
            <c:numRef>
              <c:f>'TYD7-PieChart'!$B$4:$B$14</c:f>
              <c:numCache>
                <c:formatCode>General</c:formatCode>
                <c:ptCount val="10"/>
                <c:pt idx="0">
                  <c:v>9959</c:v>
                </c:pt>
                <c:pt idx="1">
                  <c:v>39499</c:v>
                </c:pt>
                <c:pt idx="2">
                  <c:v>34112</c:v>
                </c:pt>
                <c:pt idx="3">
                  <c:v>41598.06</c:v>
                </c:pt>
                <c:pt idx="4">
                  <c:v>6799.4000000000005</c:v>
                </c:pt>
                <c:pt idx="5">
                  <c:v>1525.5</c:v>
                </c:pt>
                <c:pt idx="6">
                  <c:v>4140.8</c:v>
                </c:pt>
                <c:pt idx="7">
                  <c:v>8306</c:v>
                </c:pt>
                <c:pt idx="8">
                  <c:v>6739.5</c:v>
                </c:pt>
                <c:pt idx="9">
                  <c:v>68309.5</c:v>
                </c:pt>
              </c:numCache>
            </c:numRef>
          </c:val>
          <c:extLst>
            <c:ext xmlns:c16="http://schemas.microsoft.com/office/drawing/2014/chart" uri="{C3380CC4-5D6E-409C-BE32-E72D297353CC}">
              <c16:uniqueId val="{00000002-B4D4-3B41-A185-169826C19B62}"/>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Purchase Price vs Last Price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'Portfolio-TYD'!$R$10</c:f>
              <c:strCache>
                <c:ptCount val="1"/>
                <c:pt idx="0">
                  <c:v>Portfolio Percentage</c:v>
                </c:pt>
              </c:strCache>
            </c:strRef>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'Portfolio-TYD'!$G$11:$G$47</c:f>
              <c:numCache>
                <c:formatCode>"$"#,##0.00_);[Red]\("$"#,##0.00\)</c:formatCode>
                <c:ptCount val="37"/>
                <c:pt idx="0">
                  <c:v>67.88</c:v>
                </c:pt>
                <c:pt idx="1">
                  <c:v>18.53</c:v>
                </c:pt>
                <c:pt idx="2">
                  <c:v>126.99</c:v>
                </c:pt>
                <c:pt idx="3">
                  <c:v>30.96</c:v>
                </c:pt>
                <c:pt idx="4">
                  <c:v>14.32</c:v>
                </c:pt>
                <c:pt idx="5">
                  <c:v>17.64</c:v>
                </c:pt>
                <c:pt idx="6" formatCode="&quot;$&quot;#,##0.00">
                  <c:v>49.48</c:v>
                </c:pt>
                <c:pt idx="7" formatCode="&quot;$&quot;#,##0.00">
                  <c:v>58.52</c:v>
                </c:pt>
                <c:pt idx="8">
                  <c:v>34.46</c:v>
                </c:pt>
                <c:pt idx="9">
                  <c:v>23.15</c:v>
                </c:pt>
                <c:pt idx="10">
                  <c:v>70.63</c:v>
                </c:pt>
                <c:pt idx="11">
                  <c:v>48.72</c:v>
                </c:pt>
                <c:pt idx="12" formatCode="&quot;$&quot;#,##0.00">
                  <c:v>25.55</c:v>
                </c:pt>
                <c:pt idx="13" formatCode="&quot;$&quot;#,##0.00">
                  <c:v>28.53</c:v>
                </c:pt>
                <c:pt idx="14">
                  <c:v>105.48</c:v>
                </c:pt>
                <c:pt idx="15">
                  <c:v>20.14</c:v>
                </c:pt>
                <c:pt idx="16">
                  <c:v>65.040000000000006</c:v>
                </c:pt>
                <c:pt idx="17">
                  <c:v>35.46</c:v>
                </c:pt>
                <c:pt idx="18">
                  <c:v>10.48</c:v>
                </c:pt>
                <c:pt idx="19">
                  <c:v>19.21</c:v>
                </c:pt>
                <c:pt idx="20">
                  <c:v>20.86</c:v>
                </c:pt>
                <c:pt idx="21">
                  <c:v>59.24</c:v>
                </c:pt>
                <c:pt idx="22">
                  <c:v>40.53</c:v>
                </c:pt>
                <c:pt idx="23">
                  <c:v>23.54</c:v>
                </c:pt>
                <c:pt idx="24">
                  <c:v>56.48</c:v>
                </c:pt>
                <c:pt idx="25">
                  <c:v>34.229999999999997</c:v>
                </c:pt>
                <c:pt idx="26">
                  <c:v>13.11</c:v>
                </c:pt>
                <c:pt idx="27">
                  <c:v>69.41</c:v>
                </c:pt>
                <c:pt idx="28">
                  <c:v>22.61</c:v>
                </c:pt>
                <c:pt idx="29">
                  <c:v>43.63</c:v>
                </c:pt>
                <c:pt idx="30" formatCode="&quot;$&quot;#,##0.00">
                  <c:v>85.61</c:v>
                </c:pt>
                <c:pt idx="31">
                  <c:v>49.48</c:v>
                </c:pt>
                <c:pt idx="32">
                  <c:v>29.48</c:v>
                </c:pt>
                <c:pt idx="33">
                  <c:v>48.01</c:v>
                </c:pt>
                <c:pt idx="34">
                  <c:v>56.53</c:v>
                </c:pt>
                <c:pt idx="35" formatCode="&quot;$&quot;#,##0.00">
                  <c:v>58.2</c:v>
                </c:pt>
                <c:pt idx="36" formatCode="&quot;$&quot;#,##0.00">
                  <c:v>55.95</c:v>
                </c:pt>
              </c:numCache>
            </c:numRef>
          </c:xVal>
          <c:yVal>
            <c:numRef>
              <c:f>'Portfolio-TYD'!$I$11:$I$47</c:f>
              <c:numCache>
                <c:formatCode>"$"#,##0.00</c:formatCode>
                <c:ptCount val="37"/>
                <c:pt idx="0">
                  <c:v>99.59</c:v>
                </c:pt>
                <c:pt idx="1">
                  <c:v>18.52</c:v>
                </c:pt>
                <c:pt idx="2">
                  <c:v>162.30000000000001</c:v>
                </c:pt>
                <c:pt idx="3">
                  <c:v>65.5</c:v>
                </c:pt>
                <c:pt idx="4">
                  <c:v>35.89</c:v>
                </c:pt>
                <c:pt idx="5">
                  <c:v>47.67</c:v>
                </c:pt>
                <c:pt idx="6">
                  <c:v>32.53</c:v>
                </c:pt>
                <c:pt idx="7">
                  <c:v>52.66</c:v>
                </c:pt>
                <c:pt idx="8">
                  <c:v>57.5</c:v>
                </c:pt>
                <c:pt idx="9">
                  <c:v>40.72</c:v>
                </c:pt>
                <c:pt idx="10">
                  <c:v>57.88</c:v>
                </c:pt>
                <c:pt idx="11">
                  <c:v>108.8</c:v>
                </c:pt>
                <c:pt idx="12">
                  <c:v>35.5</c:v>
                </c:pt>
                <c:pt idx="13">
                  <c:v>43.98</c:v>
                </c:pt>
                <c:pt idx="14">
                  <c:v>162.72</c:v>
                </c:pt>
                <c:pt idx="15">
                  <c:v>40.71</c:v>
                </c:pt>
                <c:pt idx="16">
                  <c:v>121.87</c:v>
                </c:pt>
                <c:pt idx="17">
                  <c:v>81.94</c:v>
                </c:pt>
                <c:pt idx="18">
                  <c:v>8.7200000000000006</c:v>
                </c:pt>
                <c:pt idx="19">
                  <c:v>17.25</c:v>
                </c:pt>
                <c:pt idx="20">
                  <c:v>39.409999999999997</c:v>
                </c:pt>
                <c:pt idx="21">
                  <c:v>30.51</c:v>
                </c:pt>
                <c:pt idx="22">
                  <c:v>96.01</c:v>
                </c:pt>
                <c:pt idx="23">
                  <c:v>25.21</c:v>
                </c:pt>
                <c:pt idx="24">
                  <c:v>39.96</c:v>
                </c:pt>
                <c:pt idx="25">
                  <c:v>41.73</c:v>
                </c:pt>
                <c:pt idx="26">
                  <c:v>2.74</c:v>
                </c:pt>
                <c:pt idx="27">
                  <c:v>39.700000000000003</c:v>
                </c:pt>
                <c:pt idx="28">
                  <c:v>11.77</c:v>
                </c:pt>
                <c:pt idx="29">
                  <c:v>5.31</c:v>
                </c:pt>
                <c:pt idx="30">
                  <c:v>16.5</c:v>
                </c:pt>
                <c:pt idx="31">
                  <c:v>40.76</c:v>
                </c:pt>
                <c:pt idx="32">
                  <c:v>30.01</c:v>
                </c:pt>
                <c:pt idx="33">
                  <c:v>78.17</c:v>
                </c:pt>
                <c:pt idx="34">
                  <c:v>74.8</c:v>
                </c:pt>
                <c:pt idx="35">
                  <c:v>170.15</c:v>
                </c:pt>
                <c:pt idx="36">
                  <c:v>54.64</c:v>
                </c:pt>
              </c:numCache>
            </c:numRef>
          </c:yVal>
          <c:smooth val="0"/>
          <c:extLst>
            <c:ext xmlns:c16="http://schemas.microsoft.com/office/drawing/2014/chart" uri="{C3380CC4-5D6E-409C-BE32-E72D297353CC}">
              <c16:uniqueId val="{00000000-0F46-B845-B700-C983F9C9A0A8}"/>
            </c:ext>
          </c:extLst>
        </c:ser>
        <c:dLbls>
          <c:showLegendKey val="0"/>
          <c:showVal val="0"/>
          <c:showCatName val="0"/>
          <c:showSerName val="0"/>
          <c:showPercent val="0"/>
          <c:showBubbleSize val="0"/>
        </c:dLbls>
        <c:axId val="391662111"/>
        <c:axId val="392016079"/>
      </c:scatterChart>
      <c:valAx>
        <c:axId val="391662111"/>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Purchase Price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00_);[Red]\(&quot;$&quot;#,##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2016079"/>
        <c:crosses val="autoZero"/>
        <c:crossBetween val="midCat"/>
      </c:valAx>
      <c:valAx>
        <c:axId val="39201607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Last Price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166211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GSK Stock Chart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'GSK-66dayinformation'!$B$1</c:f>
              <c:strCache>
                <c:ptCount val="1"/>
                <c:pt idx="0">
                  <c:v>Open</c:v>
                </c:pt>
              </c:strCache>
            </c:strRef>
          </c:tx>
          <c:spPr>
            <a:solidFill>
              <a:schemeClr val="accent1"/>
            </a:solidFill>
            <a:ln>
              <a:noFill/>
            </a:ln>
            <a:effectLst/>
          </c:spPr>
          <c:invertIfNegative val="0"/>
          <c:val>
            <c:numRef>
              <c:f>'GSK-66dayinformation'!$B$2:$B$67</c:f>
              <c:numCache>
                <c:formatCode>0.00</c:formatCode>
                <c:ptCount val="66"/>
                <c:pt idx="0">
                  <c:v>39.669998</c:v>
                </c:pt>
                <c:pt idx="1">
                  <c:v>40.18</c:v>
                </c:pt>
                <c:pt idx="2">
                  <c:v>38.990001999999997</c:v>
                </c:pt>
                <c:pt idx="3">
                  <c:v>38.889999000000003</c:v>
                </c:pt>
                <c:pt idx="4">
                  <c:v>38.779998999999997</c:v>
                </c:pt>
                <c:pt idx="5">
                  <c:v>39.630001</c:v>
                </c:pt>
                <c:pt idx="6">
                  <c:v>39.869999</c:v>
                </c:pt>
                <c:pt idx="7">
                  <c:v>39.869999</c:v>
                </c:pt>
                <c:pt idx="8">
                  <c:v>39.799999</c:v>
                </c:pt>
                <c:pt idx="9">
                  <c:v>40.389999000000003</c:v>
                </c:pt>
                <c:pt idx="10">
                  <c:v>40.560001</c:v>
                </c:pt>
                <c:pt idx="11">
                  <c:v>39.740001999999997</c:v>
                </c:pt>
                <c:pt idx="12">
                  <c:v>40.450001</c:v>
                </c:pt>
                <c:pt idx="13">
                  <c:v>40.900002000000001</c:v>
                </c:pt>
                <c:pt idx="14">
                  <c:v>41.009998000000003</c:v>
                </c:pt>
                <c:pt idx="15">
                  <c:v>41.110000999999997</c:v>
                </c:pt>
                <c:pt idx="16">
                  <c:v>41.529998999999997</c:v>
                </c:pt>
                <c:pt idx="17">
                  <c:v>41.610000999999997</c:v>
                </c:pt>
                <c:pt idx="18">
                  <c:v>41.310001</c:v>
                </c:pt>
                <c:pt idx="19">
                  <c:v>41.93</c:v>
                </c:pt>
                <c:pt idx="20">
                  <c:v>41.639999000000003</c:v>
                </c:pt>
                <c:pt idx="21">
                  <c:v>42.130001</c:v>
                </c:pt>
                <c:pt idx="22">
                  <c:v>42.849997999999999</c:v>
                </c:pt>
                <c:pt idx="23">
                  <c:v>42.950001</c:v>
                </c:pt>
                <c:pt idx="24">
                  <c:v>42.779998999999997</c:v>
                </c:pt>
                <c:pt idx="25">
                  <c:v>42.889999000000003</c:v>
                </c:pt>
                <c:pt idx="26">
                  <c:v>43.330002</c:v>
                </c:pt>
                <c:pt idx="27">
                  <c:v>43.889999000000003</c:v>
                </c:pt>
                <c:pt idx="28">
                  <c:v>43.220001000000003</c:v>
                </c:pt>
                <c:pt idx="29">
                  <c:v>42.900002000000001</c:v>
                </c:pt>
                <c:pt idx="30">
                  <c:v>43.639999000000003</c:v>
                </c:pt>
                <c:pt idx="31">
                  <c:v>43.720001000000003</c:v>
                </c:pt>
                <c:pt idx="32">
                  <c:v>42.830002</c:v>
                </c:pt>
                <c:pt idx="33">
                  <c:v>43.09</c:v>
                </c:pt>
                <c:pt idx="34">
                  <c:v>43.200001</c:v>
                </c:pt>
                <c:pt idx="35">
                  <c:v>43.619999</c:v>
                </c:pt>
                <c:pt idx="36">
                  <c:v>42.990001999999997</c:v>
                </c:pt>
                <c:pt idx="37">
                  <c:v>43.32</c:v>
                </c:pt>
                <c:pt idx="38">
                  <c:v>43.459999000000003</c:v>
                </c:pt>
                <c:pt idx="39">
                  <c:v>43.080002</c:v>
                </c:pt>
                <c:pt idx="40">
                  <c:v>43.130001</c:v>
                </c:pt>
                <c:pt idx="41">
                  <c:v>43.009998000000003</c:v>
                </c:pt>
                <c:pt idx="42">
                  <c:v>43.029998999999997</c:v>
                </c:pt>
                <c:pt idx="43">
                  <c:v>42.5</c:v>
                </c:pt>
                <c:pt idx="44">
                  <c:v>42.91</c:v>
                </c:pt>
                <c:pt idx="45">
                  <c:v>43.66</c:v>
                </c:pt>
                <c:pt idx="46">
                  <c:v>43.73</c:v>
                </c:pt>
                <c:pt idx="47">
                  <c:v>44.080002</c:v>
                </c:pt>
                <c:pt idx="48">
                  <c:v>43.889999000000003</c:v>
                </c:pt>
                <c:pt idx="49">
                  <c:v>43.07</c:v>
                </c:pt>
                <c:pt idx="50">
                  <c:v>43.380001</c:v>
                </c:pt>
                <c:pt idx="51">
                  <c:v>43.439999</c:v>
                </c:pt>
                <c:pt idx="52">
                  <c:v>43.540000999999997</c:v>
                </c:pt>
                <c:pt idx="53">
                  <c:v>43.790000999999997</c:v>
                </c:pt>
                <c:pt idx="54">
                  <c:v>44</c:v>
                </c:pt>
                <c:pt idx="55">
                  <c:v>44.450001</c:v>
                </c:pt>
                <c:pt idx="56">
                  <c:v>44.470001000000003</c:v>
                </c:pt>
                <c:pt idx="57">
                  <c:v>43.889999000000003</c:v>
                </c:pt>
                <c:pt idx="58">
                  <c:v>44.02</c:v>
                </c:pt>
                <c:pt idx="59">
                  <c:v>44.52</c:v>
                </c:pt>
                <c:pt idx="60">
                  <c:v>44.5</c:v>
                </c:pt>
                <c:pt idx="61">
                  <c:v>44.419998</c:v>
                </c:pt>
                <c:pt idx="62">
                  <c:v>44.389999000000003</c:v>
                </c:pt>
                <c:pt idx="63">
                  <c:v>44.450001</c:v>
                </c:pt>
                <c:pt idx="64">
                  <c:v>44.25</c:v>
                </c:pt>
                <c:pt idx="65">
                  <c:v>44.369999</c:v>
                </c:pt>
              </c:numCache>
            </c:numRef>
          </c:val>
          <c:extLst>
            <c:ext xmlns:c16="http://schemas.microsoft.com/office/drawing/2014/chart" uri="{C3380CC4-5D6E-409C-BE32-E72D297353CC}">
              <c16:uniqueId val="{00000000-89FD-B14F-B474-4879F272C356}"/>
            </c:ext>
          </c:extLst>
        </c:ser>
        <c:dLbls>
          <c:showLegendKey val="0"/>
          <c:showVal val="0"/>
          <c:showCatName val="0"/>
          <c:showSerName val="0"/>
          <c:showPercent val="0"/>
          <c:showBubbleSize val="0"/>
        </c:dLbls>
        <c:gapWidth val="150"/>
        <c:axId val="411187087"/>
        <c:axId val="386844799"/>
      </c:barChart>
      <c:stockChart>
        <c:ser>
          <c:idx val="1"/>
          <c:order val="1"/>
          <c:tx>
            <c:strRef>
              <c:f>'GSK-66dayinformation'!$C$1</c:f>
              <c:strCache>
                <c:ptCount val="1"/>
                <c:pt idx="0">
                  <c:v>High</c:v>
                </c:pt>
              </c:strCache>
            </c:strRef>
          </c:tx>
          <c:spPr>
            <a:ln w="28575" cap="rnd">
              <a:noFill/>
              <a:round/>
            </a:ln>
            <a:effectLst/>
          </c:spPr>
          <c:marker>
            <c:symbol val="none"/>
          </c:marker>
          <c:val>
            <c:numRef>
              <c:f>'GSK-66dayinformation'!$C$2:$C$67</c:f>
              <c:numCache>
                <c:formatCode>0.00</c:formatCode>
                <c:ptCount val="66"/>
                <c:pt idx="0">
                  <c:v>40.159999999999997</c:v>
                </c:pt>
                <c:pt idx="1">
                  <c:v>40.599997999999999</c:v>
                </c:pt>
                <c:pt idx="2">
                  <c:v>39.400002000000001</c:v>
                </c:pt>
                <c:pt idx="3">
                  <c:v>39</c:v>
                </c:pt>
                <c:pt idx="4">
                  <c:v>38.880001</c:v>
                </c:pt>
                <c:pt idx="5">
                  <c:v>39.669998</c:v>
                </c:pt>
                <c:pt idx="6">
                  <c:v>39.909999999999997</c:v>
                </c:pt>
                <c:pt idx="7">
                  <c:v>40.110000999999997</c:v>
                </c:pt>
                <c:pt idx="8">
                  <c:v>40.150002000000001</c:v>
                </c:pt>
                <c:pt idx="9">
                  <c:v>40.439999</c:v>
                </c:pt>
                <c:pt idx="10">
                  <c:v>40.709999000000003</c:v>
                </c:pt>
                <c:pt idx="11">
                  <c:v>40.479999999999997</c:v>
                </c:pt>
                <c:pt idx="12">
                  <c:v>40.509998000000003</c:v>
                </c:pt>
                <c:pt idx="13">
                  <c:v>41.02</c:v>
                </c:pt>
                <c:pt idx="14">
                  <c:v>41.25</c:v>
                </c:pt>
                <c:pt idx="15">
                  <c:v>41.599997999999999</c:v>
                </c:pt>
                <c:pt idx="16">
                  <c:v>41.709999000000003</c:v>
                </c:pt>
                <c:pt idx="17">
                  <c:v>41.799999</c:v>
                </c:pt>
                <c:pt idx="18">
                  <c:v>41.5</c:v>
                </c:pt>
                <c:pt idx="19">
                  <c:v>42.029998999999997</c:v>
                </c:pt>
                <c:pt idx="20">
                  <c:v>42.580002</c:v>
                </c:pt>
                <c:pt idx="21">
                  <c:v>42.189999</c:v>
                </c:pt>
                <c:pt idx="22">
                  <c:v>42.869999</c:v>
                </c:pt>
                <c:pt idx="23">
                  <c:v>43.16</c:v>
                </c:pt>
                <c:pt idx="24">
                  <c:v>43.009998000000003</c:v>
                </c:pt>
                <c:pt idx="25">
                  <c:v>43</c:v>
                </c:pt>
                <c:pt idx="26">
                  <c:v>43.439999</c:v>
                </c:pt>
                <c:pt idx="27">
                  <c:v>43.919998</c:v>
                </c:pt>
                <c:pt idx="28">
                  <c:v>43.279998999999997</c:v>
                </c:pt>
                <c:pt idx="29">
                  <c:v>43.27</c:v>
                </c:pt>
                <c:pt idx="30">
                  <c:v>43.669998</c:v>
                </c:pt>
                <c:pt idx="31">
                  <c:v>43.779998999999997</c:v>
                </c:pt>
                <c:pt idx="32">
                  <c:v>43.34</c:v>
                </c:pt>
                <c:pt idx="33">
                  <c:v>43.099997999999999</c:v>
                </c:pt>
                <c:pt idx="34">
                  <c:v>43.529998999999997</c:v>
                </c:pt>
                <c:pt idx="35">
                  <c:v>43.869999</c:v>
                </c:pt>
                <c:pt idx="36">
                  <c:v>43.259998000000003</c:v>
                </c:pt>
                <c:pt idx="37">
                  <c:v>43.41</c:v>
                </c:pt>
                <c:pt idx="38">
                  <c:v>43.509998000000003</c:v>
                </c:pt>
                <c:pt idx="39">
                  <c:v>43.220001000000003</c:v>
                </c:pt>
                <c:pt idx="40">
                  <c:v>43.619999</c:v>
                </c:pt>
                <c:pt idx="41">
                  <c:v>43.23</c:v>
                </c:pt>
                <c:pt idx="42">
                  <c:v>43.07</c:v>
                </c:pt>
                <c:pt idx="43">
                  <c:v>43.349997999999999</c:v>
                </c:pt>
                <c:pt idx="44">
                  <c:v>43</c:v>
                </c:pt>
                <c:pt idx="45">
                  <c:v>43.810001</c:v>
                </c:pt>
                <c:pt idx="46">
                  <c:v>44.02</c:v>
                </c:pt>
                <c:pt idx="47">
                  <c:v>44.200001</c:v>
                </c:pt>
                <c:pt idx="48">
                  <c:v>44.459999000000003</c:v>
                </c:pt>
                <c:pt idx="49">
                  <c:v>43.189999</c:v>
                </c:pt>
                <c:pt idx="50">
                  <c:v>43.509998000000003</c:v>
                </c:pt>
                <c:pt idx="51">
                  <c:v>43.59</c:v>
                </c:pt>
                <c:pt idx="52">
                  <c:v>43.700001</c:v>
                </c:pt>
                <c:pt idx="53">
                  <c:v>44.189999</c:v>
                </c:pt>
                <c:pt idx="54">
                  <c:v>44.099997999999999</c:v>
                </c:pt>
                <c:pt idx="55">
                  <c:v>44.540000999999997</c:v>
                </c:pt>
                <c:pt idx="56">
                  <c:v>44.5</c:v>
                </c:pt>
                <c:pt idx="57">
                  <c:v>44.290000999999997</c:v>
                </c:pt>
                <c:pt idx="58">
                  <c:v>44.169998</c:v>
                </c:pt>
                <c:pt idx="59">
                  <c:v>44.580002</c:v>
                </c:pt>
                <c:pt idx="60">
                  <c:v>44.509998000000003</c:v>
                </c:pt>
                <c:pt idx="61">
                  <c:v>44.59</c:v>
                </c:pt>
                <c:pt idx="62">
                  <c:v>44.59</c:v>
                </c:pt>
                <c:pt idx="63">
                  <c:v>44.490001999999997</c:v>
                </c:pt>
                <c:pt idx="64">
                  <c:v>44.41</c:v>
                </c:pt>
                <c:pt idx="65">
                  <c:v>44.369999</c:v>
                </c:pt>
              </c:numCache>
            </c:numRef>
          </c:val>
          <c:smooth val="0"/>
          <c:extLst>
            <c:ext xmlns:c16="http://schemas.microsoft.com/office/drawing/2014/chart" uri="{C3380CC4-5D6E-409C-BE32-E72D297353CC}">
              <c16:uniqueId val="{00000001-89FD-B14F-B474-4879F272C356}"/>
            </c:ext>
          </c:extLst>
        </c:ser>
        <c:ser>
          <c:idx val="2"/>
          <c:order val="2"/>
          <c:tx>
            <c:strRef>
              <c:f>'GSK-66dayinformation'!$D$1</c:f>
              <c:strCache>
                <c:ptCount val="1"/>
                <c:pt idx="0">
                  <c:v>Low</c:v>
                </c:pt>
              </c:strCache>
            </c:strRef>
          </c:tx>
          <c:spPr>
            <a:ln w="28575" cap="rnd">
              <a:noFill/>
              <a:round/>
            </a:ln>
            <a:effectLst/>
          </c:spPr>
          <c:marker>
            <c:symbol val="none"/>
          </c:marker>
          <c:val>
            <c:numRef>
              <c:f>'GSK-66dayinformation'!$D$2:$D$67</c:f>
              <c:numCache>
                <c:formatCode>0.00</c:formatCode>
                <c:ptCount val="66"/>
                <c:pt idx="0">
                  <c:v>39.419998</c:v>
                </c:pt>
                <c:pt idx="1">
                  <c:v>39.599997999999999</c:v>
                </c:pt>
                <c:pt idx="2">
                  <c:v>38.93</c:v>
                </c:pt>
                <c:pt idx="3">
                  <c:v>38.759998000000003</c:v>
                </c:pt>
                <c:pt idx="4">
                  <c:v>38.560001</c:v>
                </c:pt>
                <c:pt idx="5">
                  <c:v>38.720001000000003</c:v>
                </c:pt>
                <c:pt idx="6">
                  <c:v>39.43</c:v>
                </c:pt>
                <c:pt idx="7">
                  <c:v>39.639999000000003</c:v>
                </c:pt>
                <c:pt idx="8">
                  <c:v>39.610000999999997</c:v>
                </c:pt>
                <c:pt idx="9">
                  <c:v>40.009998000000003</c:v>
                </c:pt>
                <c:pt idx="10">
                  <c:v>40.099997999999999</c:v>
                </c:pt>
                <c:pt idx="11">
                  <c:v>39.560001</c:v>
                </c:pt>
                <c:pt idx="12">
                  <c:v>40.189999</c:v>
                </c:pt>
                <c:pt idx="13">
                  <c:v>40.650002000000001</c:v>
                </c:pt>
                <c:pt idx="14">
                  <c:v>40.959999000000003</c:v>
                </c:pt>
                <c:pt idx="15">
                  <c:v>41.09</c:v>
                </c:pt>
                <c:pt idx="16">
                  <c:v>41.439999</c:v>
                </c:pt>
                <c:pt idx="17">
                  <c:v>41.540000999999997</c:v>
                </c:pt>
                <c:pt idx="18">
                  <c:v>41.189999</c:v>
                </c:pt>
                <c:pt idx="19">
                  <c:v>41.68</c:v>
                </c:pt>
                <c:pt idx="20">
                  <c:v>41.599997999999999</c:v>
                </c:pt>
                <c:pt idx="21">
                  <c:v>41.849997999999999</c:v>
                </c:pt>
                <c:pt idx="22">
                  <c:v>42.049999</c:v>
                </c:pt>
                <c:pt idx="23">
                  <c:v>42.939999</c:v>
                </c:pt>
                <c:pt idx="24">
                  <c:v>42.68</c:v>
                </c:pt>
                <c:pt idx="25">
                  <c:v>42.77</c:v>
                </c:pt>
                <c:pt idx="26">
                  <c:v>43.200001</c:v>
                </c:pt>
                <c:pt idx="27">
                  <c:v>43.23</c:v>
                </c:pt>
                <c:pt idx="28">
                  <c:v>42.98</c:v>
                </c:pt>
                <c:pt idx="29">
                  <c:v>42.82</c:v>
                </c:pt>
                <c:pt idx="30">
                  <c:v>42.759998000000003</c:v>
                </c:pt>
                <c:pt idx="31">
                  <c:v>43.299999</c:v>
                </c:pt>
                <c:pt idx="32">
                  <c:v>42.720001000000003</c:v>
                </c:pt>
                <c:pt idx="33">
                  <c:v>42.869999</c:v>
                </c:pt>
                <c:pt idx="34">
                  <c:v>43.18</c:v>
                </c:pt>
                <c:pt idx="35">
                  <c:v>43.529998999999997</c:v>
                </c:pt>
                <c:pt idx="36">
                  <c:v>42.639999000000003</c:v>
                </c:pt>
                <c:pt idx="37">
                  <c:v>43.02</c:v>
                </c:pt>
                <c:pt idx="38">
                  <c:v>43.220001000000003</c:v>
                </c:pt>
                <c:pt idx="39">
                  <c:v>42.700001</c:v>
                </c:pt>
                <c:pt idx="40">
                  <c:v>42.950001</c:v>
                </c:pt>
                <c:pt idx="41">
                  <c:v>42.810001</c:v>
                </c:pt>
                <c:pt idx="42">
                  <c:v>42.43</c:v>
                </c:pt>
                <c:pt idx="43">
                  <c:v>42.48</c:v>
                </c:pt>
                <c:pt idx="44">
                  <c:v>42.5</c:v>
                </c:pt>
                <c:pt idx="45">
                  <c:v>43.560001</c:v>
                </c:pt>
                <c:pt idx="46">
                  <c:v>43.73</c:v>
                </c:pt>
                <c:pt idx="47">
                  <c:v>43.880001</c:v>
                </c:pt>
                <c:pt idx="48">
                  <c:v>43.759998000000003</c:v>
                </c:pt>
                <c:pt idx="49">
                  <c:v>42.880001</c:v>
                </c:pt>
                <c:pt idx="50">
                  <c:v>43.25</c:v>
                </c:pt>
                <c:pt idx="51">
                  <c:v>43.349997999999999</c:v>
                </c:pt>
                <c:pt idx="52">
                  <c:v>43.389999000000003</c:v>
                </c:pt>
                <c:pt idx="53">
                  <c:v>43.43</c:v>
                </c:pt>
                <c:pt idx="54">
                  <c:v>43.650002000000001</c:v>
                </c:pt>
                <c:pt idx="55">
                  <c:v>43.82</c:v>
                </c:pt>
                <c:pt idx="56">
                  <c:v>44.200001</c:v>
                </c:pt>
                <c:pt idx="57">
                  <c:v>43.880001</c:v>
                </c:pt>
                <c:pt idx="58">
                  <c:v>43.900002000000001</c:v>
                </c:pt>
                <c:pt idx="59">
                  <c:v>44.360000999999997</c:v>
                </c:pt>
                <c:pt idx="60">
                  <c:v>44.07</c:v>
                </c:pt>
                <c:pt idx="61">
                  <c:v>44.32</c:v>
                </c:pt>
                <c:pt idx="62">
                  <c:v>44.330002</c:v>
                </c:pt>
                <c:pt idx="63">
                  <c:v>44.029998999999997</c:v>
                </c:pt>
                <c:pt idx="64">
                  <c:v>44.150002000000001</c:v>
                </c:pt>
                <c:pt idx="65">
                  <c:v>43.98</c:v>
                </c:pt>
              </c:numCache>
            </c:numRef>
          </c:val>
          <c:smooth val="0"/>
          <c:extLst>
            <c:ext xmlns:c16="http://schemas.microsoft.com/office/drawing/2014/chart" uri="{C3380CC4-5D6E-409C-BE32-E72D297353CC}">
              <c16:uniqueId val="{00000002-89FD-B14F-B474-4879F272C356}"/>
            </c:ext>
          </c:extLst>
        </c:ser>
        <c:ser>
          <c:idx val="3"/>
          <c:order val="3"/>
          <c:tx>
            <c:strRef>
              <c:f>'GSK-66dayinformation'!$E$1</c:f>
              <c:strCache>
                <c:ptCount val="1"/>
                <c:pt idx="0">
                  <c:v>Close</c:v>
                </c:pt>
              </c:strCache>
            </c:strRef>
          </c:tx>
          <c:spPr>
            <a:ln w="28575" cap="rnd">
              <a:noFill/>
              <a:round/>
            </a:ln>
            <a:effectLst/>
          </c:spPr>
          <c:marker>
            <c:symbol val="none"/>
          </c:marker>
          <c:val>
            <c:numRef>
              <c:f>'GSK-66dayinformation'!$E$2:$E$67</c:f>
              <c:numCache>
                <c:formatCode>0.00</c:formatCode>
                <c:ptCount val="66"/>
                <c:pt idx="0">
                  <c:v>39.900002000000001</c:v>
                </c:pt>
                <c:pt idx="1">
                  <c:v>40.400002000000001</c:v>
                </c:pt>
                <c:pt idx="2">
                  <c:v>39.139999000000003</c:v>
                </c:pt>
                <c:pt idx="3">
                  <c:v>38.840000000000003</c:v>
                </c:pt>
                <c:pt idx="4">
                  <c:v>38.630001</c:v>
                </c:pt>
                <c:pt idx="5">
                  <c:v>38.740001999999997</c:v>
                </c:pt>
                <c:pt idx="6">
                  <c:v>39.490001999999997</c:v>
                </c:pt>
                <c:pt idx="7">
                  <c:v>39.849997999999999</c:v>
                </c:pt>
                <c:pt idx="8">
                  <c:v>40.009998000000003</c:v>
                </c:pt>
                <c:pt idx="9">
                  <c:v>40.139999000000003</c:v>
                </c:pt>
                <c:pt idx="10">
                  <c:v>40.419998</c:v>
                </c:pt>
                <c:pt idx="11">
                  <c:v>40.340000000000003</c:v>
                </c:pt>
                <c:pt idx="12">
                  <c:v>40.32</c:v>
                </c:pt>
                <c:pt idx="13">
                  <c:v>40.68</c:v>
                </c:pt>
                <c:pt idx="14">
                  <c:v>41.130001</c:v>
                </c:pt>
                <c:pt idx="15">
                  <c:v>41.43</c:v>
                </c:pt>
                <c:pt idx="16">
                  <c:v>41.490001999999997</c:v>
                </c:pt>
                <c:pt idx="17">
                  <c:v>41.759998000000003</c:v>
                </c:pt>
                <c:pt idx="18">
                  <c:v>41.189999</c:v>
                </c:pt>
                <c:pt idx="19">
                  <c:v>41.68</c:v>
                </c:pt>
                <c:pt idx="20">
                  <c:v>42.389999000000003</c:v>
                </c:pt>
                <c:pt idx="21">
                  <c:v>42.080002</c:v>
                </c:pt>
                <c:pt idx="22">
                  <c:v>42.139999000000003</c:v>
                </c:pt>
                <c:pt idx="23">
                  <c:v>43.040000999999997</c:v>
                </c:pt>
                <c:pt idx="24">
                  <c:v>42.959999000000003</c:v>
                </c:pt>
                <c:pt idx="25">
                  <c:v>42.900002000000001</c:v>
                </c:pt>
                <c:pt idx="26">
                  <c:v>43.330002</c:v>
                </c:pt>
                <c:pt idx="27">
                  <c:v>43.439999</c:v>
                </c:pt>
                <c:pt idx="28">
                  <c:v>43.220001000000003</c:v>
                </c:pt>
                <c:pt idx="29">
                  <c:v>43.130001</c:v>
                </c:pt>
                <c:pt idx="30">
                  <c:v>42.900002000000001</c:v>
                </c:pt>
                <c:pt idx="31">
                  <c:v>43.669998</c:v>
                </c:pt>
                <c:pt idx="32">
                  <c:v>43.32</c:v>
                </c:pt>
                <c:pt idx="33">
                  <c:v>42.959999000000003</c:v>
                </c:pt>
                <c:pt idx="34">
                  <c:v>43.419998</c:v>
                </c:pt>
                <c:pt idx="35">
                  <c:v>43.580002</c:v>
                </c:pt>
                <c:pt idx="36">
                  <c:v>43.209999000000003</c:v>
                </c:pt>
                <c:pt idx="37">
                  <c:v>43.060001</c:v>
                </c:pt>
                <c:pt idx="38">
                  <c:v>43.299999</c:v>
                </c:pt>
                <c:pt idx="39">
                  <c:v>42.880001</c:v>
                </c:pt>
                <c:pt idx="40">
                  <c:v>43.540000999999997</c:v>
                </c:pt>
                <c:pt idx="41">
                  <c:v>43.150002000000001</c:v>
                </c:pt>
                <c:pt idx="42">
                  <c:v>42.509998000000003</c:v>
                </c:pt>
                <c:pt idx="43">
                  <c:v>43.299999</c:v>
                </c:pt>
                <c:pt idx="44">
                  <c:v>42.5</c:v>
                </c:pt>
                <c:pt idx="45">
                  <c:v>43.650002000000001</c:v>
                </c:pt>
                <c:pt idx="46">
                  <c:v>43.82</c:v>
                </c:pt>
                <c:pt idx="47">
                  <c:v>43.990001999999997</c:v>
                </c:pt>
                <c:pt idx="48">
                  <c:v>44.259998000000003</c:v>
                </c:pt>
                <c:pt idx="49">
                  <c:v>42.98</c:v>
                </c:pt>
                <c:pt idx="50">
                  <c:v>43.459999000000003</c:v>
                </c:pt>
                <c:pt idx="51">
                  <c:v>43.360000999999997</c:v>
                </c:pt>
                <c:pt idx="52">
                  <c:v>43.610000999999997</c:v>
                </c:pt>
                <c:pt idx="53">
                  <c:v>43.549999</c:v>
                </c:pt>
                <c:pt idx="54">
                  <c:v>43.740001999999997</c:v>
                </c:pt>
                <c:pt idx="55">
                  <c:v>43.900002000000001</c:v>
                </c:pt>
                <c:pt idx="56">
                  <c:v>44.41</c:v>
                </c:pt>
                <c:pt idx="57">
                  <c:v>44.119999</c:v>
                </c:pt>
                <c:pt idx="58">
                  <c:v>44.16</c:v>
                </c:pt>
                <c:pt idx="59">
                  <c:v>44.490001999999997</c:v>
                </c:pt>
                <c:pt idx="60">
                  <c:v>44.389999000000003</c:v>
                </c:pt>
                <c:pt idx="61">
                  <c:v>44.32</c:v>
                </c:pt>
                <c:pt idx="62">
                  <c:v>44.400002000000001</c:v>
                </c:pt>
                <c:pt idx="63">
                  <c:v>44.169998</c:v>
                </c:pt>
                <c:pt idx="64">
                  <c:v>44.389999000000003</c:v>
                </c:pt>
                <c:pt idx="65">
                  <c:v>44.130001</c:v>
                </c:pt>
              </c:numCache>
            </c:numRef>
          </c:val>
          <c:smooth val="0"/>
          <c:extLst>
            <c:ext xmlns:c16="http://schemas.microsoft.com/office/drawing/2014/chart" uri="{C3380CC4-5D6E-409C-BE32-E72D297353CC}">
              <c16:uniqueId val="{00000003-89FD-B14F-B474-4879F272C356}"/>
            </c:ext>
          </c:extLst>
        </c:ser>
        <c:ser>
          <c:idx val="4"/>
          <c:order val="4"/>
          <c:tx>
            <c:strRef>
              <c:f>'GSK-66dayinformation'!$F$1</c:f>
              <c:strCache>
                <c:ptCount val="1"/>
                <c:pt idx="0">
                  <c:v>Volume</c:v>
                </c:pt>
              </c:strCache>
            </c:strRef>
          </c:tx>
          <c:spPr>
            <a:ln w="28575" cap="rnd">
              <a:noFill/>
              <a:round/>
            </a:ln>
            <a:effectLst/>
          </c:spPr>
          <c:marker>
            <c:symbol val="none"/>
          </c:marker>
          <c:val>
            <c:numRef>
              <c:f>'GSK-66dayinformation'!$F$2:$F$67</c:f>
              <c:numCache>
                <c:formatCode>0</c:formatCode>
                <c:ptCount val="66"/>
                <c:pt idx="0">
                  <c:v>5776900</c:v>
                </c:pt>
                <c:pt idx="1">
                  <c:v>7359600</c:v>
                </c:pt>
                <c:pt idx="2">
                  <c:v>3381700</c:v>
                </c:pt>
                <c:pt idx="3">
                  <c:v>3327400</c:v>
                </c:pt>
                <c:pt idx="4">
                  <c:v>4027100</c:v>
                </c:pt>
                <c:pt idx="5">
                  <c:v>4225600</c:v>
                </c:pt>
                <c:pt idx="6">
                  <c:v>4918400</c:v>
                </c:pt>
                <c:pt idx="7">
                  <c:v>4376300</c:v>
                </c:pt>
                <c:pt idx="8">
                  <c:v>3762200</c:v>
                </c:pt>
                <c:pt idx="9">
                  <c:v>4250600</c:v>
                </c:pt>
                <c:pt idx="10">
                  <c:v>4985200</c:v>
                </c:pt>
                <c:pt idx="11">
                  <c:v>5428900</c:v>
                </c:pt>
                <c:pt idx="12">
                  <c:v>6494700</c:v>
                </c:pt>
                <c:pt idx="13">
                  <c:v>3094100</c:v>
                </c:pt>
                <c:pt idx="14">
                  <c:v>2301700</c:v>
                </c:pt>
                <c:pt idx="15">
                  <c:v>3432200</c:v>
                </c:pt>
                <c:pt idx="16">
                  <c:v>2309000</c:v>
                </c:pt>
                <c:pt idx="17">
                  <c:v>2485500</c:v>
                </c:pt>
                <c:pt idx="18">
                  <c:v>3856000</c:v>
                </c:pt>
                <c:pt idx="19">
                  <c:v>3538600</c:v>
                </c:pt>
                <c:pt idx="20">
                  <c:v>3863000</c:v>
                </c:pt>
                <c:pt idx="21">
                  <c:v>2347900</c:v>
                </c:pt>
                <c:pt idx="22">
                  <c:v>3022700</c:v>
                </c:pt>
                <c:pt idx="23">
                  <c:v>1581100</c:v>
                </c:pt>
                <c:pt idx="24">
                  <c:v>2177700</c:v>
                </c:pt>
                <c:pt idx="25">
                  <c:v>1711200</c:v>
                </c:pt>
                <c:pt idx="26">
                  <c:v>2088500</c:v>
                </c:pt>
                <c:pt idx="27">
                  <c:v>3260600</c:v>
                </c:pt>
                <c:pt idx="28">
                  <c:v>2368200</c:v>
                </c:pt>
                <c:pt idx="29">
                  <c:v>2598400</c:v>
                </c:pt>
                <c:pt idx="30">
                  <c:v>3449100</c:v>
                </c:pt>
                <c:pt idx="31">
                  <c:v>1969000</c:v>
                </c:pt>
                <c:pt idx="32">
                  <c:v>2084800</c:v>
                </c:pt>
                <c:pt idx="33">
                  <c:v>2057000</c:v>
                </c:pt>
                <c:pt idx="34">
                  <c:v>2128100</c:v>
                </c:pt>
                <c:pt idx="35">
                  <c:v>1899100</c:v>
                </c:pt>
                <c:pt idx="36">
                  <c:v>3228000</c:v>
                </c:pt>
                <c:pt idx="37">
                  <c:v>2581800</c:v>
                </c:pt>
                <c:pt idx="38">
                  <c:v>2192500</c:v>
                </c:pt>
                <c:pt idx="39">
                  <c:v>3206100</c:v>
                </c:pt>
                <c:pt idx="40">
                  <c:v>1907300</c:v>
                </c:pt>
                <c:pt idx="41">
                  <c:v>2719600</c:v>
                </c:pt>
                <c:pt idx="42">
                  <c:v>3655100</c:v>
                </c:pt>
                <c:pt idx="43">
                  <c:v>3214500</c:v>
                </c:pt>
                <c:pt idx="44">
                  <c:v>3425600</c:v>
                </c:pt>
                <c:pt idx="45">
                  <c:v>2393700</c:v>
                </c:pt>
                <c:pt idx="46">
                  <c:v>3081000</c:v>
                </c:pt>
                <c:pt idx="47">
                  <c:v>2944200</c:v>
                </c:pt>
                <c:pt idx="48">
                  <c:v>3915200</c:v>
                </c:pt>
                <c:pt idx="49">
                  <c:v>3220800</c:v>
                </c:pt>
                <c:pt idx="50">
                  <c:v>2370400</c:v>
                </c:pt>
                <c:pt idx="51">
                  <c:v>1914100</c:v>
                </c:pt>
                <c:pt idx="52">
                  <c:v>2134000</c:v>
                </c:pt>
                <c:pt idx="53">
                  <c:v>3571000</c:v>
                </c:pt>
                <c:pt idx="54">
                  <c:v>2259900</c:v>
                </c:pt>
                <c:pt idx="55">
                  <c:v>2605900</c:v>
                </c:pt>
                <c:pt idx="56">
                  <c:v>2490900</c:v>
                </c:pt>
                <c:pt idx="57">
                  <c:v>1874300</c:v>
                </c:pt>
                <c:pt idx="58">
                  <c:v>2321500</c:v>
                </c:pt>
                <c:pt idx="59">
                  <c:v>1526900</c:v>
                </c:pt>
                <c:pt idx="60">
                  <c:v>1751700</c:v>
                </c:pt>
                <c:pt idx="61">
                  <c:v>2197300</c:v>
                </c:pt>
                <c:pt idx="62">
                  <c:v>2042300</c:v>
                </c:pt>
                <c:pt idx="63">
                  <c:v>2369000</c:v>
                </c:pt>
                <c:pt idx="64">
                  <c:v>1940600</c:v>
                </c:pt>
                <c:pt idx="65">
                  <c:v>2331100</c:v>
                </c:pt>
              </c:numCache>
            </c:numRef>
          </c:val>
          <c:smooth val="0"/>
          <c:extLst>
            <c:ext xmlns:c16="http://schemas.microsoft.com/office/drawing/2014/chart" uri="{C3380CC4-5D6E-409C-BE32-E72D297353CC}">
              <c16:uniqueId val="{00000004-89FD-B14F-B474-4879F272C356}"/>
            </c:ext>
          </c:extLst>
        </c:ser>
        <c:dLbls>
          <c:showLegendKey val="0"/>
          <c:showVal val="0"/>
          <c:showCatName val="0"/>
          <c:showSerName val="0"/>
          <c:showPercent val="0"/>
          <c:showBubbleSize val="0"/>
        </c:dLbls>
        <c:hiLowLines>
          <c:spPr>
            <a:ln w="9525" cap="flat" cmpd="sng" algn="ctr">
              <a:solidFill>
                <a:schemeClr val="tx1">
                  <a:lumMod val="75000"/>
                  <a:lumOff val="25000"/>
                </a:schemeClr>
              </a:solidFill>
              <a:round/>
            </a:ln>
            <a:effectLst/>
          </c:spPr>
        </c:hiLowLines>
        <c:upDownBars>
          <c:gapWidth val="150"/>
          <c:upBars>
            <c:spPr>
              <a:solidFill>
                <a:schemeClr val="lt1"/>
              </a:solidFill>
              <a:ln w="9525" cap="flat" cmpd="sng" algn="ctr">
                <a:solidFill>
                  <a:schemeClr val="tx1">
                    <a:lumMod val="65000"/>
                    <a:lumOff val="35000"/>
                  </a:schemeClr>
                </a:solidFill>
                <a:round/>
              </a:ln>
              <a:effectLst/>
            </c:spPr>
          </c:upBars>
          <c:downBars>
            <c:spPr>
              <a:solidFill>
                <a:schemeClr val="dk1">
                  <a:lumMod val="75000"/>
                  <a:lumOff val="25000"/>
                </a:schemeClr>
              </a:solidFill>
              <a:ln w="9525" cap="flat" cmpd="sng" algn="ctr">
                <a:solidFill>
                  <a:schemeClr val="tx1">
                    <a:lumMod val="65000"/>
                    <a:lumOff val="35000"/>
                  </a:schemeClr>
                </a:solidFill>
                <a:round/>
              </a:ln>
              <a:effectLst/>
            </c:spPr>
          </c:downBars>
        </c:upDownBars>
        <c:axId val="390310559"/>
        <c:axId val="390308399"/>
      </c:stockChart>
      <c:catAx>
        <c:axId val="411187087"/>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Day</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6844799"/>
        <c:crosses val="autoZero"/>
        <c:auto val="1"/>
        <c:lblAlgn val="ctr"/>
        <c:lblOffset val="100"/>
        <c:noMultiLvlLbl val="0"/>
      </c:catAx>
      <c:valAx>
        <c:axId val="38684479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Price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1187087"/>
        <c:crosses val="autoZero"/>
        <c:crossBetween val="between"/>
      </c:valAx>
      <c:valAx>
        <c:axId val="390308399"/>
        <c:scaling>
          <c:orientation val="minMax"/>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Volume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0310559"/>
        <c:crosses val="max"/>
        <c:crossBetween val="between"/>
      </c:valAx>
      <c:catAx>
        <c:axId val="390310559"/>
        <c:scaling>
          <c:orientation val="minMax"/>
        </c:scaling>
        <c:delete val="1"/>
        <c:axPos val="b"/>
        <c:majorTickMark val="none"/>
        <c:minorTickMark val="none"/>
        <c:tickLblPos val="nextTo"/>
        <c:crossAx val="390308399"/>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0</xdr:col>
      <xdr:colOff>44450</xdr:colOff>
      <xdr:row>17</xdr:row>
      <xdr:rowOff>76200</xdr:rowOff>
    </xdr:from>
    <xdr:to>
      <xdr:col>7</xdr:col>
      <xdr:colOff>114300</xdr:colOff>
      <xdr:row>43</xdr:row>
      <xdr:rowOff>12700</xdr:rowOff>
    </xdr:to>
    <xdr:graphicFrame macro="">
      <xdr:nvGraphicFramePr>
        <xdr:cNvPr id="2" name="Chart 1">
          <a:extLst>
            <a:ext uri="{FF2B5EF4-FFF2-40B4-BE49-F238E27FC236}">
              <a16:creationId xmlns:a16="http://schemas.microsoft.com/office/drawing/2014/main" id="{8E99F886-6E99-BC4B-8547-568EA90B82C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19050</xdr:colOff>
      <xdr:row>2</xdr:row>
      <xdr:rowOff>12700</xdr:rowOff>
    </xdr:from>
    <xdr:to>
      <xdr:col>8</xdr:col>
      <xdr:colOff>203200</xdr:colOff>
      <xdr:row>20</xdr:row>
      <xdr:rowOff>76200</xdr:rowOff>
    </xdr:to>
    <xdr:graphicFrame macro="">
      <xdr:nvGraphicFramePr>
        <xdr:cNvPr id="2" name="Chart 1">
          <a:extLst>
            <a:ext uri="{FF2B5EF4-FFF2-40B4-BE49-F238E27FC236}">
              <a16:creationId xmlns:a16="http://schemas.microsoft.com/office/drawing/2014/main" id="{EC84C319-3286-9349-973E-94E859D3499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279400</xdr:colOff>
      <xdr:row>1</xdr:row>
      <xdr:rowOff>63500</xdr:rowOff>
    </xdr:from>
    <xdr:to>
      <xdr:col>8</xdr:col>
      <xdr:colOff>558800</xdr:colOff>
      <xdr:row>23</xdr:row>
      <xdr:rowOff>0</xdr:rowOff>
    </xdr:to>
    <xdr:graphicFrame macro="">
      <xdr:nvGraphicFramePr>
        <xdr:cNvPr id="4" name="Chart 3">
          <a:extLst>
            <a:ext uri="{FF2B5EF4-FFF2-40B4-BE49-F238E27FC236}">
              <a16:creationId xmlns:a16="http://schemas.microsoft.com/office/drawing/2014/main" id="{45AE5E00-BA03-A94D-89E7-6E51B28E95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25400</xdr:colOff>
      <xdr:row>2</xdr:row>
      <xdr:rowOff>12700</xdr:rowOff>
    </xdr:from>
    <xdr:to>
      <xdr:col>2</xdr:col>
      <xdr:colOff>88900</xdr:colOff>
      <xdr:row>3</xdr:row>
      <xdr:rowOff>88900</xdr:rowOff>
    </xdr:to>
    <xdr:sp macro="[0]!Macro1" textlink="">
      <xdr:nvSpPr>
        <xdr:cNvPr id="47" name="Rectangle 46">
          <a:extLst>
            <a:ext uri="{FF2B5EF4-FFF2-40B4-BE49-F238E27FC236}">
              <a16:creationId xmlns:a16="http://schemas.microsoft.com/office/drawing/2014/main" id="{06673BF1-C540-C847-A544-E336D0A1A694}"/>
            </a:ext>
          </a:extLst>
        </xdr:cNvPr>
        <xdr:cNvSpPr/>
      </xdr:nvSpPr>
      <xdr:spPr>
        <a:xfrm>
          <a:off x="850900" y="342900"/>
          <a:ext cx="889000" cy="2413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Macro1</a:t>
          </a:r>
        </a:p>
      </xdr:txBody>
    </xdr:sp>
    <xdr:clientData/>
  </xdr:twoCellAnchor>
  <xdr:twoCellAnchor>
    <xdr:from>
      <xdr:col>3</xdr:col>
      <xdr:colOff>12700</xdr:colOff>
      <xdr:row>2</xdr:row>
      <xdr:rowOff>0</xdr:rowOff>
    </xdr:from>
    <xdr:to>
      <xdr:col>4</xdr:col>
      <xdr:colOff>63500</xdr:colOff>
      <xdr:row>3</xdr:row>
      <xdr:rowOff>76200</xdr:rowOff>
    </xdr:to>
    <xdr:sp macro="[0]!Macro2" textlink="">
      <xdr:nvSpPr>
        <xdr:cNvPr id="48" name="Rectangle 47">
          <a:extLst>
            <a:ext uri="{FF2B5EF4-FFF2-40B4-BE49-F238E27FC236}">
              <a16:creationId xmlns:a16="http://schemas.microsoft.com/office/drawing/2014/main" id="{D52CBD3B-AAE7-2040-A6F4-7AD3B52C70F1}"/>
            </a:ext>
          </a:extLst>
        </xdr:cNvPr>
        <xdr:cNvSpPr/>
      </xdr:nvSpPr>
      <xdr:spPr>
        <a:xfrm>
          <a:off x="2908300" y="330200"/>
          <a:ext cx="850900" cy="2413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Macro2</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4317.69193854167" createdVersion="7" refreshedVersion="7" minRefreshableVersion="3" recordCount="31" xr:uid="{DB42D058-F3FE-6341-97F7-1340936B6329}">
  <cacheSource type="worksheet">
    <worksheetSource ref="B10:R41" sheet="Portfolio"/>
  </cacheSource>
  <cacheFields count="17">
    <cacheField name="Symbol" numFmtId="0">
      <sharedItems count="31">
        <s v="ABT"/>
        <s v="AMGN"/>
        <s v="COL  "/>
        <s v="CPB "/>
        <s v="CAG"/>
        <s v="DVN "/>
        <s v="GIS "/>
        <s v="GSK"/>
        <s v="HAS "/>
        <s v="HPQ"/>
        <s v="HSY "/>
        <s v="IBM "/>
        <s v="ITT "/>
        <s v="JCI "/>
        <s v="JNJ "/>
        <s v="KSS "/>
        <s v="LLY"/>
        <s v="M"/>
        <s v="MAT "/>
        <s v="MBI "/>
        <s v="MFC "/>
        <s v="MSFT  "/>
        <s v="NBR "/>
        <s v="NCR "/>
        <s v="NE "/>
        <s v="PGR "/>
        <s v="TJX "/>
        <s v="WMT "/>
        <s v="X "/>
        <s v="YGE"/>
        <s v="YHOO"/>
      </sharedItems>
    </cacheField>
    <cacheField name="Company" numFmtId="0">
      <sharedItems/>
    </cacheField>
    <cacheField name="Industry" numFmtId="0">
      <sharedItems count="10">
        <s v="Health Care"/>
        <s v="Aerospace/Defense"/>
        <s v="Foods"/>
        <s v="Oil &amp; Gas"/>
        <s v="Leisure Time"/>
        <s v="Computers"/>
        <s v="Manufacturing"/>
        <s v="Retail"/>
        <s v="Insurance"/>
        <s v="Iron and Steel"/>
      </sharedItems>
    </cacheField>
    <cacheField name="Shares Purchased" numFmtId="0">
      <sharedItems containsSemiMixedTypes="0" containsString="0" containsNumber="1" containsInteger="1" minValue="10" maxValue="250"/>
    </cacheField>
    <cacheField name="Purchase Date" numFmtId="14">
      <sharedItems containsSemiMixedTypes="0" containsNonDate="0" containsDate="1" containsString="0" minDate="2010-04-23T00:00:00" maxDate="2010-04-24T00:00:00"/>
    </cacheField>
    <cacheField name="Purchase Price" numFmtId="0">
      <sharedItems containsSemiMixedTypes="0" containsString="0" containsNumber="1" minValue="10.48" maxValue="126.99" count="31">
        <n v="28.53"/>
        <n v="105.48"/>
        <n v="67.88"/>
        <n v="34.46"/>
        <n v="23.15"/>
        <n v="69.41"/>
        <n v="70.63"/>
        <n v="20.14"/>
        <n v="40.53"/>
        <n v="18.53"/>
        <n v="48.72"/>
        <n v="126.99"/>
        <n v="56.48"/>
        <n v="34.229999999999997"/>
        <n v="65.040000000000006"/>
        <n v="49.48"/>
        <n v="35.46"/>
        <n v="29.48"/>
        <n v="23.54"/>
        <n v="10.48"/>
        <n v="19.21"/>
        <n v="30.96"/>
        <n v="22.61"/>
        <n v="14.32"/>
        <n v="43.63"/>
        <n v="20.86"/>
        <n v="48.01"/>
        <n v="56.53"/>
        <n v="59.24"/>
        <n v="13.11"/>
        <n v="17.64"/>
      </sharedItems>
    </cacheField>
    <cacheField name="Market Capital" numFmtId="3">
      <sharedItems containsSemiMixedTypes="0" containsString="0" containsNumber="1" containsInteger="1" minValue="50166800" maxValue="502598539492"/>
    </cacheField>
    <cacheField name="Last Price" numFmtId="0">
      <sharedItems containsSemiMixedTypes="0" containsString="0" containsNumber="1" minValue="2.74" maxValue="162.72" count="31">
        <n v="43.98"/>
        <n v="162.72"/>
        <n v="99.59"/>
        <n v="57.5"/>
        <n v="40.72"/>
        <n v="39.700000000000003"/>
        <n v="57.88"/>
        <n v="40.71"/>
        <n v="96.01"/>
        <n v="18.52"/>
        <n v="108.8"/>
        <n v="162.30000000000001"/>
        <n v="39.96"/>
        <n v="41.73"/>
        <n v="121.87"/>
        <n v="40.76"/>
        <n v="81.94"/>
        <n v="30.01"/>
        <n v="25.21"/>
        <n v="8.7200000000000006"/>
        <n v="17.25"/>
        <n v="65.5"/>
        <n v="11.77"/>
        <n v="35.89"/>
        <n v="5.31"/>
        <n v="39.409999999999997"/>
        <n v="78.17"/>
        <n v="74.8"/>
        <n v="30.51"/>
        <n v="2.74"/>
        <n v="47.67"/>
      </sharedItems>
    </cacheField>
    <cacheField name="Previous Close" numFmtId="0">
      <sharedItems containsSemiMixedTypes="0" containsString="0" containsNumber="1" minValue="2.76" maxValue="164.4" count="31">
        <n v="43.59"/>
        <n v="164.4"/>
        <n v="98.04"/>
        <n v="57.28"/>
        <n v="40.479999999999997"/>
        <n v="39.25"/>
        <n v="57.84"/>
        <n v="40.840000000000003"/>
        <n v="95.51"/>
        <n v="18.38"/>
        <n v="108.63"/>
        <n v="161.69"/>
        <n v="39"/>
        <n v="41.28"/>
        <n v="121.37"/>
        <n v="39.18"/>
        <n v="80.89"/>
        <n v="29.09"/>
        <n v="25.11"/>
        <n v="8.6999999999999993"/>
        <n v="16.96"/>
        <n v="65.040000000000006"/>
        <n v="11.96"/>
        <n v="36.299999999999997"/>
        <n v="5.23"/>
        <n v="38.869999999999997"/>
        <n v="76.900000000000006"/>
        <n v="74.069999999999993"/>
        <n v="28.42"/>
        <n v="2.76"/>
        <n v="47"/>
      </sharedItems>
    </cacheField>
    <cacheField name="Earnings Per Share" numFmtId="0">
      <sharedItems containsSemiMixedTypes="0" containsString="0" containsNumber="1" minValue="-89.3" maxValue="12.38" count="31">
        <n v="0.94"/>
        <n v="9.06"/>
        <n v="5.59"/>
        <n v="1.61"/>
        <n v="1.38"/>
        <n v="-6.52"/>
        <n v="2.7"/>
        <n v="0.37"/>
        <n v="4.34"/>
        <n v="1.46"/>
        <n v="3.34"/>
        <n v="12.38"/>
        <n v="2.0699999999999998"/>
        <n v="-1.64"/>
        <n v="5.93"/>
        <n v="3.11"/>
        <n v="2.58"/>
        <n v="1.99"/>
        <n v="0.92"/>
        <n v="-2.54"/>
        <n v="1.41"/>
        <n v="2.13"/>
        <n v="-3.64"/>
        <n v="1.49"/>
        <n v="-3.82"/>
        <n v="1.76"/>
        <n v="3.46"/>
        <n v="4.38"/>
        <n v="-2.81"/>
        <n v="-89.3"/>
        <n v="-0.23"/>
      </sharedItems>
    </cacheField>
    <cacheField name="Commission" numFmtId="164">
      <sharedItems containsSemiMixedTypes="0" containsString="0" containsNumber="1" minValue="2.0859999999999999" maxValue="28"/>
    </cacheField>
    <cacheField name="Total Cost" numFmtId="164">
      <sharedItems containsSemiMixedTypes="0" containsString="0" containsNumber="1" minValue="210.68600000000001" maxValue="10576"/>
    </cacheField>
    <cacheField name="Current Value" numFmtId="164">
      <sharedItems containsSemiMixedTypes="0" containsString="0" containsNumber="1" minValue="137" maxValue="16272"/>
    </cacheField>
    <cacheField name="Return" numFmtId="2">
      <sharedItems containsSemiMixedTypes="0" containsString="0" containsNumber="1" minValue="-0.87907082669095882" maxValue="1.6756247053276754" count="31">
        <n v="0.5265532801110725"/>
        <n v="0.53857791225416041"/>
        <n v="0.46112089201877932"/>
        <n v="0.65515256188831317"/>
        <n v="0.74838986689566334"/>
        <n v="-0.43033433778160418"/>
        <n v="-0.18375405443519954"/>
        <n v="1.002787799278452"/>
        <n v="1.3454084860743658"/>
        <n v="-1.0435312284601355E-2"/>
        <n v="1.2204081632653061"/>
        <n v="0.27244217953743644"/>
        <n v="-0.29598308668076112"/>
        <n v="0.20921472037090713"/>
        <n v="0.86464795393217797"/>
        <n v="-0.17855703345425231"/>
        <n v="1.2878937639956889"/>
        <n v="1.1573033707865169E-2"/>
        <n v="6.0339678827695871E-2"/>
        <n v="-0.17617715970070291"/>
        <n v="-0.10723527585136114"/>
        <n v="1.1029537671232876"/>
        <n v="-0.48458799882641962"/>
        <n v="1.4820193637621024"/>
        <n v="-0.87907082669095882"/>
        <n v="0.87055618313509175"/>
        <n v="0.62189639670793273"/>
        <n v="0.31666960042246084"/>
        <n v="-0.4897993311036789"/>
        <n v="-0.7930685517064292"/>
        <n v="1.6756247053276754"/>
      </sharedItems>
    </cacheField>
    <cacheField name="P/E Ratio" numFmtId="2">
      <sharedItems containsSemiMixedTypes="0" containsString="0" containsNumber="1" minValue="0" maxValue="110.02702702702703" count="24">
        <n v="46.787234042553187"/>
        <n v="17.960264900662249"/>
        <n v="17.815742397137747"/>
        <n v="35.714285714285715"/>
        <n v="29.507246376811597"/>
        <n v="0"/>
        <n v="21.437037037037037"/>
        <n v="110.02702702702703"/>
        <n v="22.122119815668206"/>
        <n v="12.684931506849315"/>
        <n v="32.574850299401199"/>
        <n v="13.109854604200324"/>
        <n v="19.304347826086957"/>
        <n v="20.551433389544691"/>
        <n v="13.106109324758842"/>
        <n v="31.759689922480618"/>
        <n v="15.080402010050252"/>
        <n v="27.402173913043477"/>
        <n v="12.23404255319149"/>
        <n v="30.751173708920188"/>
        <n v="24.087248322147651"/>
        <n v="22.392045454545453"/>
        <n v="22.592485549132949"/>
        <n v="17.077625570776256"/>
      </sharedItems>
    </cacheField>
    <cacheField name="Capitalizataion Level" numFmtId="0">
      <sharedItems/>
    </cacheField>
    <cacheField name="Portfolio Percentage" numFmtId="10">
      <sharedItems containsSemiMixedTypes="0" containsString="0" containsNumber="1" minValue="8.0972731930136963E-4" maxValue="9.6174328026802092E-2"/>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4317.810902546298" createdVersion="7" refreshedVersion="7" minRefreshableVersion="3" recordCount="37" xr:uid="{628DC7DE-6690-CD43-8C29-E31CE1069178}">
  <cacheSource type="worksheet">
    <worksheetSource name="_xlnm.Database"/>
  </cacheSource>
  <cacheFields count="17">
    <cacheField name="Symbol" numFmtId="0">
      <sharedItems/>
    </cacheField>
    <cacheField name="Company" numFmtId="0">
      <sharedItems/>
    </cacheField>
    <cacheField name="Industry" numFmtId="0">
      <sharedItems count="10">
        <s v="Aerospace/Defense"/>
        <s v="Computers"/>
        <s v="Foods"/>
        <s v="Health Care"/>
        <s v="Insurance"/>
        <s v="Iron and Steel"/>
        <s v="Leisure Time"/>
        <s v="Manufacturing"/>
        <s v="Oil &amp; Gas"/>
        <s v="Retail"/>
      </sharedItems>
    </cacheField>
    <cacheField name="Shares Purchased" numFmtId="0">
      <sharedItems containsSemiMixedTypes="0" containsString="0" containsNumber="1" containsInteger="1" minValue="10" maxValue="250"/>
    </cacheField>
    <cacheField name="Purchase Date" numFmtId="14">
      <sharedItems containsSemiMixedTypes="0" containsNonDate="0" containsDate="1" containsString="0" minDate="2010-04-23T00:00:00" maxDate="2010-04-24T00:00:00"/>
    </cacheField>
    <cacheField name="Purchase Price" numFmtId="0">
      <sharedItems containsSemiMixedTypes="0" containsString="0" containsNumber="1" minValue="10.48" maxValue="126.99"/>
    </cacheField>
    <cacheField name="Market Capital" numFmtId="164">
      <sharedItems containsSemiMixedTypes="0" containsString="0" containsNumber="1" containsInteger="1" minValue="50166800" maxValue="502598539492"/>
    </cacheField>
    <cacheField name="Last Price" numFmtId="164">
      <sharedItems containsSemiMixedTypes="0" containsString="0" containsNumber="1" minValue="2.74" maxValue="170.15"/>
    </cacheField>
    <cacheField name="Previous Close" numFmtId="164">
      <sharedItems containsSemiMixedTypes="0" containsString="0" containsNumber="1" minValue="2.76" maxValue="170.06"/>
    </cacheField>
    <cacheField name="Earnings Per Share" numFmtId="0">
      <sharedItems containsSemiMixedTypes="0" containsString="0" containsNumber="1" minValue="-89.3" maxValue="12.38"/>
    </cacheField>
    <cacheField name="Commission" numFmtId="164">
      <sharedItems containsSemiMixedTypes="0" containsString="0" containsNumber="1" minValue="2.0859999999999999" maxValue="28"/>
    </cacheField>
    <cacheField name="Total Cost" numFmtId="164">
      <sharedItems containsSemiMixedTypes="0" containsString="0" containsNumber="1" minValue="210.68600000000001" maxValue="11218"/>
    </cacheField>
    <cacheField name="Current Value" numFmtId="164">
      <sharedItems containsSemiMixedTypes="0" containsString="0" containsNumber="1" minValue="137" maxValue="25522.5" count="37">
        <n v="9959"/>
        <n v="1852"/>
        <n v="8115.0000000000009"/>
        <n v="9825"/>
        <n v="7178"/>
        <n v="2383.5"/>
        <n v="4879.5"/>
        <n v="5266"/>
        <n v="5750"/>
        <n v="8144"/>
        <n v="5788"/>
        <n v="10880"/>
        <n v="3550"/>
        <n v="4398"/>
        <n v="16272"/>
        <n v="6106.5"/>
        <n v="10724.560000000001"/>
        <n v="4097"/>
        <n v="2092.8000000000002"/>
        <n v="4312.5"/>
        <n v="394.09999999999997"/>
        <n v="1525.5"/>
        <n v="2880.3"/>
        <n v="1260.5"/>
        <n v="3996"/>
        <n v="4173"/>
        <n v="137"/>
        <n v="3970.0000000000005"/>
        <n v="588.5"/>
        <n v="531"/>
        <n v="1650"/>
        <n v="8152"/>
        <n v="4501.5"/>
        <n v="11725.5"/>
        <n v="7480"/>
        <n v="25522.5"/>
        <n v="10928"/>
      </sharedItems>
    </cacheField>
    <cacheField name="Return" numFmtId="9">
      <sharedItems containsSemiMixedTypes="0" containsString="0" containsNumber="1" minValue="-0.87907082669095882" maxValue="1.9141927380680521"/>
    </cacheField>
    <cacheField name="P/E Ratio" numFmtId="2">
      <sharedItems containsSemiMixedTypes="0" containsString="0" containsNumber="1" minValue="0" maxValue="110.02702702702703"/>
    </cacheField>
    <cacheField name="Capitalizataion Level" numFmtId="0">
      <sharedItems/>
    </cacheField>
    <cacheField name="Portfolio Percentage" numFmtId="166">
      <sharedItems containsSemiMixedTypes="0" containsString="0" containsNumber="1" minValue="8.9730589472335675E-4" maxValue="0.16716415838012316" count="37">
        <n v="6.5228243836130725E-2"/>
        <n v="1.2130003773924501E-2"/>
        <n v="5.3150637486715627E-2"/>
        <n v="6.4350586975598395E-2"/>
        <n v="4.7013589141052956E-2"/>
        <n v="1.5611157664767306E-2"/>
        <n v="3.1959154111697953E-2"/>
        <n v="3.4490604683308008E-2"/>
        <n v="3.7660648866126287E-2"/>
        <n v="5.3340578150562173E-2"/>
        <n v="3.7909536632545905E-2"/>
        <n v="7.1260497332774606E-2"/>
        <n v="2.3251357126043187E-2"/>
        <n v="2.8805484124038855E-2"/>
        <n v="0.10657636145210556"/>
        <n v="3.9995609095826119E-2"/>
        <n v="7.024241537455711E-2"/>
        <n v="2.6834031026872939E-2"/>
        <n v="1.3707166251657235E-2"/>
        <n v="2.8245486649594715E-2"/>
        <n v="2.5812281248939772E-3"/>
        <n v="9.9915338861348967E-3"/>
        <n v="1.8865037726800617E-2"/>
        <n v="8.2558691992612506E-3"/>
        <n v="2.6172513542441853E-2"/>
        <n v="2.7331806559712173E-2"/>
        <n v="8.9730589472335675E-4"/>
        <n v="2.6002221912786328E-2"/>
        <n v="3.8544855404722298E-3"/>
        <n v="3.4778790518109667E-3"/>
        <n v="1.0806968805062326E-2"/>
        <n v="5.3392975575071562E-2"/>
        <n v="2.9483375803629128E-2"/>
        <n v="7.679825013561109E-2"/>
        <n v="4.8991591916282544E-2"/>
        <n v="0.16716415838012316"/>
        <n v="7.1574881879830965E-2"/>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1">
  <r>
    <x v="0"/>
    <s v="Abbott Laboratories"/>
    <x v="0"/>
    <n v="100"/>
    <d v="2010-04-23T00:00:00"/>
    <x v="0"/>
    <n v="75323415209"/>
    <x v="0"/>
    <x v="0"/>
    <x v="0"/>
    <n v="28"/>
    <n v="2881"/>
    <n v="4398"/>
    <x v="0"/>
    <x v="0"/>
    <s v="Large"/>
    <n v="2.5994020075090683E-2"/>
  </r>
  <r>
    <x v="1"/>
    <s v="Amgen Inc "/>
    <x v="0"/>
    <n v="100"/>
    <d v="2010-04-23T00:00:00"/>
    <x v="1"/>
    <n v="123606162095"/>
    <x v="1"/>
    <x v="1"/>
    <x v="1"/>
    <n v="28"/>
    <n v="10576"/>
    <n v="16272"/>
    <x v="1"/>
    <x v="1"/>
    <s v="Large"/>
    <n v="9.6174328026802092E-2"/>
  </r>
  <r>
    <x v="2"/>
    <s v="Rockwell Collins Inc "/>
    <x v="1"/>
    <n v="100"/>
    <d v="2010-04-23T00:00:00"/>
    <x v="2"/>
    <n v="15857072051"/>
    <x v="2"/>
    <x v="2"/>
    <x v="2"/>
    <n v="28"/>
    <n v="6816"/>
    <n v="9959"/>
    <x v="2"/>
    <x v="2"/>
    <s v="Large"/>
    <n v="5.8861856736659411E-2"/>
  </r>
  <r>
    <x v="3"/>
    <s v="Campbell Soup Co "/>
    <x v="2"/>
    <n v="100"/>
    <d v="2010-04-23T00:00:00"/>
    <x v="3"/>
    <n v="17434838571"/>
    <x v="3"/>
    <x v="3"/>
    <x v="3"/>
    <n v="28"/>
    <n v="3474"/>
    <n v="5750"/>
    <x v="3"/>
    <x v="3"/>
    <s v="Large"/>
    <n v="3.3984905737101279E-2"/>
  </r>
  <r>
    <x v="4"/>
    <s v="ConAgra Foods Inc "/>
    <x v="2"/>
    <n v="200"/>
    <d v="2010-04-23T00:00:00"/>
    <x v="4"/>
    <n v="17224304201"/>
    <x v="4"/>
    <x v="4"/>
    <x v="4"/>
    <n v="28"/>
    <n v="4658"/>
    <n v="8144"/>
    <x v="4"/>
    <x v="4"/>
    <s v="Large"/>
    <n v="4.8134447360513533E-2"/>
  </r>
  <r>
    <x v="5"/>
    <s v="Devon Energy Corp "/>
    <x v="3"/>
    <n v="100"/>
    <d v="2010-04-23T00:00:00"/>
    <x v="5"/>
    <n v="20590550000"/>
    <x v="5"/>
    <x v="5"/>
    <x v="5"/>
    <n v="28"/>
    <n v="6969"/>
    <n v="3970.0000000000005"/>
    <x v="5"/>
    <x v="5"/>
    <s v="Large"/>
    <n v="2.3464361004572536E-2"/>
  </r>
  <r>
    <x v="6"/>
    <s v="General Mills Inc "/>
    <x v="2"/>
    <n v="100"/>
    <d v="2010-04-23T00:00:00"/>
    <x v="6"/>
    <n v="33323671651"/>
    <x v="6"/>
    <x v="6"/>
    <x v="6"/>
    <n v="28"/>
    <n v="7091"/>
    <n v="5788"/>
    <x v="6"/>
    <x v="6"/>
    <s v="Large"/>
    <n v="3.4209501635885597E-2"/>
  </r>
  <r>
    <x v="7"/>
    <s v="GlaxoSmithKline"/>
    <x v="0"/>
    <n v="150"/>
    <d v="2010-04-23T00:00:00"/>
    <x v="7"/>
    <n v="109621013986"/>
    <x v="7"/>
    <x v="7"/>
    <x v="7"/>
    <n v="28"/>
    <n v="3049"/>
    <n v="6106.5"/>
    <x v="7"/>
    <x v="7"/>
    <s v="Large"/>
    <n v="3.6091969892801556E-2"/>
  </r>
  <r>
    <x v="8"/>
    <s v="Hasbro Inc "/>
    <x v="4"/>
    <n v="30"/>
    <d v="2010-04-23T00:00:00"/>
    <x v="8"/>
    <n v="11939394310"/>
    <x v="8"/>
    <x v="8"/>
    <x v="8"/>
    <n v="12.159000000000001"/>
    <n v="1228.0590000000002"/>
    <n v="2880.3"/>
    <x v="8"/>
    <x v="8"/>
    <s v="Large"/>
    <n v="1.7023778086012666E-2"/>
  </r>
  <r>
    <x v="9"/>
    <s v="HP Inc "/>
    <x v="5"/>
    <n v="100"/>
    <d v="2010-04-23T00:00:00"/>
    <x v="9"/>
    <n v="31076572682"/>
    <x v="9"/>
    <x v="9"/>
    <x v="9"/>
    <n v="18.53"/>
    <n v="1871.53"/>
    <n v="1852"/>
    <x v="9"/>
    <x v="9"/>
    <s v="Large"/>
    <n v="1.0946094856541142E-2"/>
  </r>
  <r>
    <x v="10"/>
    <s v="The Hershey Co "/>
    <x v="2"/>
    <n v="100"/>
    <d v="2010-04-23T00:00:00"/>
    <x v="10"/>
    <n v="23104464730"/>
    <x v="10"/>
    <x v="10"/>
    <x v="10"/>
    <n v="28"/>
    <n v="4900"/>
    <n v="10880"/>
    <x v="10"/>
    <x v="10"/>
    <s v="Large"/>
    <n v="6.4305352072984684E-2"/>
  </r>
  <r>
    <x v="11"/>
    <s v="International Business Machines Corp "/>
    <x v="5"/>
    <n v="50"/>
    <d v="2010-04-23T00:00:00"/>
    <x v="11"/>
    <n v="152508037371"/>
    <x v="11"/>
    <x v="11"/>
    <x v="11"/>
    <n v="28"/>
    <n v="6377.5"/>
    <n v="8115.0000000000009"/>
    <x v="11"/>
    <x v="11"/>
    <s v="Large"/>
    <n v="4.7963045227230765E-2"/>
  </r>
  <r>
    <x v="12"/>
    <s v="ITT Corp "/>
    <x v="6"/>
    <n v="100"/>
    <d v="2010-04-23T00:00:00"/>
    <x v="12"/>
    <n v="3457914174"/>
    <x v="12"/>
    <x v="12"/>
    <x v="12"/>
    <n v="28"/>
    <n v="5676"/>
    <n v="3996"/>
    <x v="12"/>
    <x v="12"/>
    <s v="Small"/>
    <n v="2.3618031882688122E-2"/>
  </r>
  <r>
    <x v="13"/>
    <s v="Johnson Controls Inc "/>
    <x v="6"/>
    <n v="100"/>
    <d v="2010-04-23T00:00:00"/>
    <x v="13"/>
    <n v="38749953547"/>
    <x v="13"/>
    <x v="13"/>
    <x v="13"/>
    <n v="28"/>
    <n v="3450.9999999999995"/>
    <n v="4173"/>
    <x v="13"/>
    <x v="5"/>
    <s v="Large"/>
    <n v="2.4664175937551935E-2"/>
  </r>
  <r>
    <x v="14"/>
    <s v="Johnson &amp; Johnson "/>
    <x v="0"/>
    <n v="88"/>
    <d v="2010-04-23T00:00:00"/>
    <x v="14"/>
    <n v="329020961069"/>
    <x v="14"/>
    <x v="14"/>
    <x v="14"/>
    <n v="28"/>
    <n v="5751.52"/>
    <n v="10724.560000000001"/>
    <x v="14"/>
    <x v="13"/>
    <s v="Large"/>
    <n v="6.3386636638589025E-2"/>
  </r>
  <r>
    <x v="15"/>
    <s v="Kohl's Corp "/>
    <x v="7"/>
    <n v="200"/>
    <d v="2010-04-23T00:00:00"/>
    <x v="15"/>
    <n v="6752919598"/>
    <x v="15"/>
    <x v="15"/>
    <x v="15"/>
    <n v="28"/>
    <n v="9924"/>
    <n v="8152"/>
    <x v="15"/>
    <x v="14"/>
    <s v="Medium"/>
    <n v="4.8181730707626019E-2"/>
  </r>
  <r>
    <x v="16"/>
    <s v="Eli Lilly and Co "/>
    <x v="0"/>
    <n v="50"/>
    <d v="2010-04-23T00:00:00"/>
    <x v="16"/>
    <n v="89250333937"/>
    <x v="16"/>
    <x v="16"/>
    <x v="16"/>
    <n v="17.73"/>
    <n v="1790.73"/>
    <n v="4097"/>
    <x v="16"/>
    <x v="15"/>
    <s v="Large"/>
    <n v="2.4214984139983294E-2"/>
  </r>
  <r>
    <x v="17"/>
    <s v="Macy's Inc "/>
    <x v="7"/>
    <n v="150"/>
    <d v="2010-04-23T00:00:00"/>
    <x v="17"/>
    <n v="8877882353"/>
    <x v="17"/>
    <x v="17"/>
    <x v="17"/>
    <n v="28"/>
    <n v="4450"/>
    <n v="4501.5"/>
    <x v="17"/>
    <x v="16"/>
    <s v="Medium"/>
    <n v="2.6605748378358506E-2"/>
  </r>
  <r>
    <x v="18"/>
    <s v="Mattel Inc "/>
    <x v="4"/>
    <n v="50"/>
    <d v="2010-04-23T00:00:00"/>
    <x v="18"/>
    <n v="8600521944"/>
    <x v="18"/>
    <x v="18"/>
    <x v="18"/>
    <n v="11.77"/>
    <n v="1188.77"/>
    <n v="1260.5"/>
    <x v="18"/>
    <x v="17"/>
    <s v="Medium"/>
    <n v="7.4500823794115059E-3"/>
  </r>
  <r>
    <x v="19"/>
    <s v="MBIA Inc "/>
    <x v="8"/>
    <n v="240"/>
    <d v="2010-04-23T00:00:00"/>
    <x v="19"/>
    <n v="1172951869"/>
    <x v="19"/>
    <x v="19"/>
    <x v="19"/>
    <n v="25.152000000000005"/>
    <n v="2540.3520000000003"/>
    <n v="2092.8000000000002"/>
    <x v="19"/>
    <x v="5"/>
    <s v="Small"/>
    <n v="1.2369323604627055E-2"/>
  </r>
  <r>
    <x v="20"/>
    <s v="Manulife Financial Corp "/>
    <x v="8"/>
    <n v="250"/>
    <d v="2010-04-23T00:00:00"/>
    <x v="20"/>
    <n v="34041939137"/>
    <x v="20"/>
    <x v="20"/>
    <x v="20"/>
    <n v="28"/>
    <n v="4830.5"/>
    <n v="4312.5"/>
    <x v="20"/>
    <x v="18"/>
    <s v="Large"/>
    <n v="2.5488679302825959E-2"/>
  </r>
  <r>
    <x v="21"/>
    <s v="Microsoft Corp "/>
    <x v="5"/>
    <n v="150"/>
    <d v="2010-04-23T00:00:00"/>
    <x v="21"/>
    <n v="502598539492"/>
    <x v="21"/>
    <x v="21"/>
    <x v="21"/>
    <n v="28"/>
    <n v="4672"/>
    <n v="9825"/>
    <x v="21"/>
    <x v="19"/>
    <s v="Large"/>
    <n v="5.8069860672525231E-2"/>
  </r>
  <r>
    <x v="22"/>
    <s v="Nabors Industries Ltd "/>
    <x v="3"/>
    <n v="50"/>
    <d v="2010-04-23T00:00:00"/>
    <x v="22"/>
    <n v="3412743063"/>
    <x v="22"/>
    <x v="22"/>
    <x v="22"/>
    <n v="11.305"/>
    <n v="1141.8050000000001"/>
    <n v="588.5"/>
    <x v="22"/>
    <x v="5"/>
    <s v="Small"/>
    <n v="3.4782812219624525E-3"/>
  </r>
  <r>
    <x v="23"/>
    <s v="NCR Corp "/>
    <x v="5"/>
    <n v="200"/>
    <d v="2010-04-23T00:00:00"/>
    <x v="23"/>
    <n v="4504830000"/>
    <x v="23"/>
    <x v="23"/>
    <x v="23"/>
    <n v="28"/>
    <n v="2892"/>
    <n v="7178"/>
    <x v="23"/>
    <x v="20"/>
    <s v="Small"/>
    <n v="4.2424983196680519E-2"/>
  </r>
  <r>
    <x v="24"/>
    <s v="Noble Corp PLC "/>
    <x v="3"/>
    <n v="100"/>
    <d v="2010-04-23T00:00:00"/>
    <x v="24"/>
    <n v="1279686860"/>
    <x v="24"/>
    <x v="24"/>
    <x v="24"/>
    <n v="28"/>
    <n v="4391"/>
    <n v="531"/>
    <x v="24"/>
    <x v="5"/>
    <s v="Small"/>
    <n v="3.1384321645914399E-3"/>
  </r>
  <r>
    <x v="25"/>
    <s v="Progressive Corp "/>
    <x v="8"/>
    <n v="10"/>
    <d v="2010-04-23T00:00:00"/>
    <x v="25"/>
    <n v="22579661595"/>
    <x v="25"/>
    <x v="25"/>
    <x v="25"/>
    <n v="2.0859999999999999"/>
    <n v="210.68600000000001"/>
    <n v="394.09999999999997"/>
    <x v="25"/>
    <x v="21"/>
    <s v="Large"/>
    <n v="2.3292958871289761E-3"/>
  </r>
  <r>
    <x v="26"/>
    <s v="TJX Companies Inc "/>
    <x v="7"/>
    <n v="150"/>
    <d v="2010-04-23T00:00:00"/>
    <x v="26"/>
    <n v="49645861156"/>
    <x v="26"/>
    <x v="26"/>
    <x v="26"/>
    <n v="28"/>
    <n v="7229.5"/>
    <n v="11725.5"/>
    <x v="26"/>
    <x v="22"/>
    <s v="Large"/>
    <n v="6.9302610820935834E-2"/>
  </r>
  <r>
    <x v="27"/>
    <s v="Wal-Mart Stores Inc "/>
    <x v="7"/>
    <n v="100"/>
    <d v="2010-04-23T00:00:00"/>
    <x v="27"/>
    <n v="224654982481"/>
    <x v="27"/>
    <x v="27"/>
    <x v="27"/>
    <n v="28"/>
    <n v="5681"/>
    <n v="7480"/>
    <x v="27"/>
    <x v="23"/>
    <s v="Large"/>
    <n v="4.4209929550176968E-2"/>
  </r>
  <r>
    <x v="28"/>
    <s v="United States Steel Corp "/>
    <x v="9"/>
    <n v="50"/>
    <d v="2010-04-23T00:00:00"/>
    <x v="28"/>
    <n v="4953343427"/>
    <x v="28"/>
    <x v="28"/>
    <x v="28"/>
    <n v="28"/>
    <n v="2990"/>
    <n v="1525.5"/>
    <x v="28"/>
    <x v="5"/>
    <s v="Small"/>
    <n v="9.0163432525126961E-3"/>
  </r>
  <r>
    <x v="29"/>
    <s v="Yingli Green Energy Holding Co Ltd "/>
    <x v="6"/>
    <n v="50"/>
    <d v="2010-04-23T00:00:00"/>
    <x v="29"/>
    <n v="50166800"/>
    <x v="29"/>
    <x v="29"/>
    <x v="29"/>
    <n v="6.5549999999999997"/>
    <n v="662.05499999999995"/>
    <n v="137"/>
    <x v="29"/>
    <x v="5"/>
    <s v="Small"/>
    <n v="8.0972731930136963E-4"/>
  </r>
  <r>
    <x v="30"/>
    <s v="Yahoo! Inc "/>
    <x v="5"/>
    <n v="50"/>
    <d v="2010-04-23T00:00:00"/>
    <x v="30"/>
    <n v="44954899199"/>
    <x v="30"/>
    <x v="30"/>
    <x v="30"/>
    <n v="8.82"/>
    <n v="890.82"/>
    <n v="2383.5"/>
    <x v="30"/>
    <x v="5"/>
    <s v="Large"/>
    <n v="1.4087482230327112E-2"/>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7">
  <r>
    <s v="COL  "/>
    <s v="Rockwell Collins Inc "/>
    <x v="0"/>
    <n v="100"/>
    <d v="2010-04-23T00:00:00"/>
    <n v="67.88"/>
    <n v="15857072051"/>
    <n v="99.59"/>
    <n v="98.04"/>
    <n v="5.59"/>
    <n v="28"/>
    <n v="6816"/>
    <x v="0"/>
    <n v="0.46112089201877932"/>
    <n v="17.815742397137747"/>
    <s v="Large"/>
    <x v="0"/>
  </r>
  <r>
    <s v="HPQ"/>
    <s v="HP Inc "/>
    <x v="1"/>
    <n v="100"/>
    <d v="2010-04-23T00:00:00"/>
    <n v="18.53"/>
    <n v="31076572682"/>
    <n v="18.52"/>
    <n v="18.38"/>
    <n v="1.46"/>
    <n v="18.53"/>
    <n v="1871.53"/>
    <x v="1"/>
    <n v="-1.0435312284601355E-2"/>
    <n v="12.684931506849315"/>
    <s v="Large"/>
    <x v="1"/>
  </r>
  <r>
    <s v="IBM "/>
    <s v="International Business Machines Corp "/>
    <x v="1"/>
    <n v="50"/>
    <d v="2010-04-23T00:00:00"/>
    <n v="126.99"/>
    <n v="152508037371"/>
    <n v="162.30000000000001"/>
    <n v="161.69"/>
    <n v="12.38"/>
    <n v="28"/>
    <n v="6377.5"/>
    <x v="2"/>
    <n v="0.27244217953743644"/>
    <n v="13.109854604200324"/>
    <s v="Large"/>
    <x v="2"/>
  </r>
  <r>
    <s v="MSFT  "/>
    <s v="Microsoft Corp "/>
    <x v="1"/>
    <n v="150"/>
    <d v="2010-04-23T00:00:00"/>
    <n v="30.96"/>
    <n v="502598539492"/>
    <n v="65.5"/>
    <n v="65.040000000000006"/>
    <n v="2.13"/>
    <n v="28"/>
    <n v="4672"/>
    <x v="3"/>
    <n v="1.1029537671232876"/>
    <n v="30.751173708920188"/>
    <s v="Large"/>
    <x v="3"/>
  </r>
  <r>
    <s v="NCR "/>
    <s v="NCR Corp "/>
    <x v="1"/>
    <n v="200"/>
    <d v="2010-04-23T00:00:00"/>
    <n v="14.32"/>
    <n v="4504830000"/>
    <n v="35.89"/>
    <n v="36.299999999999997"/>
    <n v="1.49"/>
    <n v="28"/>
    <n v="2892"/>
    <x v="4"/>
    <n v="1.4820193637621024"/>
    <n v="24.087248322147651"/>
    <s v="Small"/>
    <x v="4"/>
  </r>
  <r>
    <s v="YHOO"/>
    <s v="Yahoo! Inc "/>
    <x v="1"/>
    <n v="50"/>
    <d v="2010-04-23T00:00:00"/>
    <n v="17.64"/>
    <n v="44954899199"/>
    <n v="47.67"/>
    <n v="47"/>
    <n v="-0.23"/>
    <n v="8.82"/>
    <n v="890.82"/>
    <x v="5"/>
    <n v="1.6756247053276754"/>
    <n v="0"/>
    <s v="Large"/>
    <x v="5"/>
  </r>
  <r>
    <s v="EBAY"/>
    <s v="eBay Inc "/>
    <x v="1"/>
    <n v="150"/>
    <d v="2010-04-23T00:00:00"/>
    <n v="49.48"/>
    <n v="36539177458"/>
    <n v="32.53"/>
    <n v="33.86"/>
    <n v="6.88"/>
    <n v="28"/>
    <n v="7449.9999999999991"/>
    <x v="6"/>
    <n v="-0.3450335570469798"/>
    <n v="4.7281976744186052"/>
    <s v="Large"/>
    <x v="6"/>
  </r>
  <r>
    <s v="QCOM"/>
    <s v="Qualcomm Inc "/>
    <x v="1"/>
    <n v="100"/>
    <d v="2010-04-23T00:00:00"/>
    <n v="58.52"/>
    <n v="77727935159"/>
    <n v="52.66"/>
    <n v="52.61"/>
    <n v="3"/>
    <n v="28"/>
    <n v="5880"/>
    <x v="7"/>
    <n v="-0.10442176870748299"/>
    <n v="17.553333333333331"/>
    <s v="Large"/>
    <x v="7"/>
  </r>
  <r>
    <s v="CPB "/>
    <s v="Campbell Soup Co "/>
    <x v="2"/>
    <n v="100"/>
    <d v="2010-04-23T00:00:00"/>
    <n v="34.46"/>
    <n v="17434838571"/>
    <n v="57.5"/>
    <n v="57.28"/>
    <n v="1.61"/>
    <n v="28"/>
    <n v="3474"/>
    <x v="8"/>
    <n v="0.65515256188831317"/>
    <n v="35.714285714285715"/>
    <s v="Large"/>
    <x v="8"/>
  </r>
  <r>
    <s v="CAG"/>
    <s v="ConAgra Foods Inc "/>
    <x v="2"/>
    <n v="200"/>
    <d v="2010-04-23T00:00:00"/>
    <n v="23.15"/>
    <n v="17224304201"/>
    <n v="40.72"/>
    <n v="40.479999999999997"/>
    <n v="1.38"/>
    <n v="28"/>
    <n v="4658"/>
    <x v="9"/>
    <n v="0.74838986689566334"/>
    <n v="29.507246376811597"/>
    <s v="Large"/>
    <x v="9"/>
  </r>
  <r>
    <s v="GIS "/>
    <s v="General Mills Inc "/>
    <x v="2"/>
    <n v="100"/>
    <d v="2010-04-23T00:00:00"/>
    <n v="70.63"/>
    <n v="33323671651"/>
    <n v="57.88"/>
    <n v="57.84"/>
    <n v="2.7"/>
    <n v="28"/>
    <n v="7091"/>
    <x v="10"/>
    <n v="-0.18375405443519954"/>
    <n v="21.437037037037037"/>
    <s v="Large"/>
    <x v="10"/>
  </r>
  <r>
    <s v="HSY "/>
    <s v="The Hershey Co "/>
    <x v="2"/>
    <n v="100"/>
    <d v="2010-04-23T00:00:00"/>
    <n v="48.72"/>
    <n v="23104464730"/>
    <n v="108.8"/>
    <n v="108.63"/>
    <n v="3.34"/>
    <n v="28"/>
    <n v="4900"/>
    <x v="11"/>
    <n v="1.2204081632653061"/>
    <n v="32.574850299401199"/>
    <s v="Large"/>
    <x v="11"/>
  </r>
  <r>
    <s v="WFM"/>
    <s v="Whole Foods Market Inc "/>
    <x v="2"/>
    <n v="100"/>
    <d v="2010-04-23T00:00:00"/>
    <n v="25.55"/>
    <n v="11121087916"/>
    <n v="35.5"/>
    <n v="34.909999999999997"/>
    <n v="1.38"/>
    <n v="25.55"/>
    <n v="2580.5500000000002"/>
    <x v="12"/>
    <n v="0.37567572804247146"/>
    <n v="25.724637681159422"/>
    <s v="Large"/>
    <x v="12"/>
  </r>
  <r>
    <s v="ABT"/>
    <s v="Abbott Laboratories"/>
    <x v="3"/>
    <n v="100"/>
    <d v="2010-04-23T00:00:00"/>
    <n v="28.53"/>
    <n v="75323415209"/>
    <n v="43.98"/>
    <n v="43.59"/>
    <n v="0.94"/>
    <n v="28"/>
    <n v="2881"/>
    <x v="13"/>
    <n v="0.5265532801110725"/>
    <n v="46.787234042553187"/>
    <s v="Large"/>
    <x v="13"/>
  </r>
  <r>
    <s v="AMGN"/>
    <s v="Amgen Inc "/>
    <x v="3"/>
    <n v="100"/>
    <d v="2010-04-23T00:00:00"/>
    <n v="105.48"/>
    <n v="123606162095"/>
    <n v="162.72"/>
    <n v="164.4"/>
    <n v="9.06"/>
    <n v="28"/>
    <n v="10576"/>
    <x v="14"/>
    <n v="0.53857791225416041"/>
    <n v="17.960264900662249"/>
    <s v="Large"/>
    <x v="14"/>
  </r>
  <r>
    <s v="GSK"/>
    <s v="GlaxoSmithKline"/>
    <x v="3"/>
    <n v="150"/>
    <d v="2010-04-23T00:00:00"/>
    <n v="20.14"/>
    <n v="109621013986"/>
    <n v="40.71"/>
    <n v="40.840000000000003"/>
    <n v="0.37"/>
    <n v="28"/>
    <n v="3049"/>
    <x v="15"/>
    <n v="1.002787799278452"/>
    <n v="110.02702702702703"/>
    <s v="Large"/>
    <x v="15"/>
  </r>
  <r>
    <s v="JNJ "/>
    <s v="Johnson &amp; Johnson "/>
    <x v="3"/>
    <n v="88"/>
    <d v="2010-04-23T00:00:00"/>
    <n v="65.040000000000006"/>
    <n v="329020961069"/>
    <n v="121.87"/>
    <n v="121.37"/>
    <n v="5.93"/>
    <n v="28"/>
    <n v="5751.52"/>
    <x v="16"/>
    <n v="0.86464795393217797"/>
    <n v="20.551433389544691"/>
    <s v="Large"/>
    <x v="16"/>
  </r>
  <r>
    <s v="LLY"/>
    <s v="Eli Lilly and Co "/>
    <x v="3"/>
    <n v="50"/>
    <d v="2010-04-23T00:00:00"/>
    <n v="35.46"/>
    <n v="89250333937"/>
    <n v="81.94"/>
    <n v="80.89"/>
    <n v="2.58"/>
    <n v="17.73"/>
    <n v="1790.73"/>
    <x v="17"/>
    <n v="1.2878937639956889"/>
    <n v="31.759689922480618"/>
    <s v="Large"/>
    <x v="17"/>
  </r>
  <r>
    <s v="MBI "/>
    <s v="MBIA Inc "/>
    <x v="4"/>
    <n v="240"/>
    <d v="2010-04-23T00:00:00"/>
    <n v="10.48"/>
    <n v="1172951869"/>
    <n v="8.7200000000000006"/>
    <n v="8.6999999999999993"/>
    <n v="-2.54"/>
    <n v="25.152000000000005"/>
    <n v="2540.3520000000003"/>
    <x v="18"/>
    <n v="-0.17617715970070291"/>
    <n v="0"/>
    <s v="Small"/>
    <x v="18"/>
  </r>
  <r>
    <s v="MFC "/>
    <s v="Manulife Financial Corp "/>
    <x v="4"/>
    <n v="250"/>
    <d v="2010-04-23T00:00:00"/>
    <n v="19.21"/>
    <n v="34041939137"/>
    <n v="17.25"/>
    <n v="16.96"/>
    <n v="1.41"/>
    <n v="28"/>
    <n v="4830.5"/>
    <x v="19"/>
    <n v="-0.10723527585136114"/>
    <n v="12.23404255319149"/>
    <s v="Large"/>
    <x v="19"/>
  </r>
  <r>
    <s v="PGR "/>
    <s v="Progressive Corp "/>
    <x v="4"/>
    <n v="10"/>
    <d v="2010-04-23T00:00:00"/>
    <n v="20.86"/>
    <n v="22579661595"/>
    <n v="39.409999999999997"/>
    <n v="38.869999999999997"/>
    <n v="1.76"/>
    <n v="2.0859999999999999"/>
    <n v="210.68600000000001"/>
    <x v="20"/>
    <n v="0.87055618313509175"/>
    <n v="22.392045454545453"/>
    <s v="Large"/>
    <x v="20"/>
  </r>
  <r>
    <s v="X "/>
    <s v="United States Steel Corp "/>
    <x v="5"/>
    <n v="50"/>
    <d v="2010-04-23T00:00:00"/>
    <n v="59.24"/>
    <n v="4953343427"/>
    <n v="30.51"/>
    <n v="28.42"/>
    <n v="-2.81"/>
    <n v="28"/>
    <n v="2990"/>
    <x v="21"/>
    <n v="-0.4897993311036789"/>
    <n v="0"/>
    <s v="Small"/>
    <x v="21"/>
  </r>
  <r>
    <s v="HAS "/>
    <s v="Hasbro Inc "/>
    <x v="6"/>
    <n v="30"/>
    <d v="2010-04-23T00:00:00"/>
    <n v="40.53"/>
    <n v="11939394310"/>
    <n v="96.01"/>
    <n v="95.51"/>
    <n v="4.34"/>
    <n v="12.159000000000001"/>
    <n v="1228.0590000000002"/>
    <x v="22"/>
    <n v="1.3454084860743658"/>
    <n v="22.122119815668206"/>
    <s v="Large"/>
    <x v="22"/>
  </r>
  <r>
    <s v="MAT "/>
    <s v="Mattel Inc "/>
    <x v="6"/>
    <n v="50"/>
    <d v="2010-04-23T00:00:00"/>
    <n v="23.54"/>
    <n v="8600521944"/>
    <n v="25.21"/>
    <n v="25.11"/>
    <n v="0.92"/>
    <n v="11.77"/>
    <n v="1188.77"/>
    <x v="23"/>
    <n v="6.0339678827695871E-2"/>
    <n v="27.402173913043477"/>
    <s v="Medium"/>
    <x v="23"/>
  </r>
  <r>
    <s v="ITT "/>
    <s v="ITT Corp "/>
    <x v="7"/>
    <n v="100"/>
    <d v="2010-04-23T00:00:00"/>
    <n v="56.48"/>
    <n v="3457914174"/>
    <n v="39.96"/>
    <n v="39"/>
    <n v="2.0699999999999998"/>
    <n v="28"/>
    <n v="5676"/>
    <x v="24"/>
    <n v="-0.29598308668076112"/>
    <n v="19.304347826086957"/>
    <s v="Small"/>
    <x v="24"/>
  </r>
  <r>
    <s v="JCI "/>
    <s v="Johnson Controls Inc "/>
    <x v="7"/>
    <n v="100"/>
    <d v="2010-04-23T00:00:00"/>
    <n v="34.229999999999997"/>
    <n v="38749953547"/>
    <n v="41.73"/>
    <n v="41.28"/>
    <n v="-1.64"/>
    <n v="28"/>
    <n v="3450.9999999999995"/>
    <x v="25"/>
    <n v="0.20921472037090713"/>
    <n v="0"/>
    <s v="Large"/>
    <x v="25"/>
  </r>
  <r>
    <s v="YGE"/>
    <s v="Yingli Green Energy Holding Co Ltd "/>
    <x v="7"/>
    <n v="50"/>
    <d v="2010-04-23T00:00:00"/>
    <n v="13.11"/>
    <n v="50166800"/>
    <n v="2.74"/>
    <n v="2.76"/>
    <n v="-89.3"/>
    <n v="6.5549999999999997"/>
    <n v="662.05499999999995"/>
    <x v="26"/>
    <n v="-0.7930685517064292"/>
    <n v="0"/>
    <s v="Small"/>
    <x v="26"/>
  </r>
  <r>
    <s v="DVN "/>
    <s v="Devon Energy Corp "/>
    <x v="8"/>
    <n v="100"/>
    <d v="2010-04-23T00:00:00"/>
    <n v="69.41"/>
    <n v="20590550000"/>
    <n v="39.700000000000003"/>
    <n v="39.25"/>
    <n v="-6.52"/>
    <n v="28"/>
    <n v="6969"/>
    <x v="27"/>
    <n v="-0.43033433778160418"/>
    <n v="0"/>
    <s v="Large"/>
    <x v="27"/>
  </r>
  <r>
    <s v="NBR "/>
    <s v="Nabors Industries Ltd "/>
    <x v="8"/>
    <n v="50"/>
    <d v="2010-04-23T00:00:00"/>
    <n v="22.61"/>
    <n v="3412743063"/>
    <n v="11.77"/>
    <n v="11.96"/>
    <n v="-3.64"/>
    <n v="11.305"/>
    <n v="1141.8050000000001"/>
    <x v="28"/>
    <n v="-0.48458799882641962"/>
    <n v="0"/>
    <s v="Small"/>
    <x v="28"/>
  </r>
  <r>
    <s v="NE "/>
    <s v="Noble Corp PLC "/>
    <x v="8"/>
    <n v="100"/>
    <d v="2010-04-23T00:00:00"/>
    <n v="43.63"/>
    <n v="1279686860"/>
    <n v="5.31"/>
    <n v="5.23"/>
    <n v="-3.82"/>
    <n v="28"/>
    <n v="4391"/>
    <x v="29"/>
    <n v="-0.87907082669095882"/>
    <n v="0"/>
    <s v="Small"/>
    <x v="29"/>
  </r>
  <r>
    <s v="DO"/>
    <s v="Diamond Offshore Drilling Inc "/>
    <x v="8"/>
    <n v="100"/>
    <d v="2010-04-23T00:00:00"/>
    <n v="85.61"/>
    <n v="2222148540"/>
    <n v="16.5"/>
    <n v="16.2"/>
    <n v="-5.35"/>
    <n v="28"/>
    <n v="8589"/>
    <x v="30"/>
    <n v="-0.80789381767376878"/>
    <n v="0"/>
    <s v="Small"/>
    <x v="30"/>
  </r>
  <r>
    <s v="KSS "/>
    <s v="Kohl's Corp "/>
    <x v="9"/>
    <n v="200"/>
    <d v="2010-04-23T00:00:00"/>
    <n v="49.48"/>
    <n v="6752919598"/>
    <n v="40.76"/>
    <n v="39.18"/>
    <n v="3.11"/>
    <n v="28"/>
    <n v="9924"/>
    <x v="31"/>
    <n v="-0.17855703345425231"/>
    <n v="13.106109324758842"/>
    <s v="Medium"/>
    <x v="31"/>
  </r>
  <r>
    <s v="M"/>
    <s v="Macy's Inc "/>
    <x v="9"/>
    <n v="150"/>
    <d v="2010-04-23T00:00:00"/>
    <n v="29.48"/>
    <n v="8877882353"/>
    <n v="30.01"/>
    <n v="29.09"/>
    <n v="1.99"/>
    <n v="28"/>
    <n v="4450"/>
    <x v="32"/>
    <n v="1.1573033707865169E-2"/>
    <n v="15.080402010050252"/>
    <s v="Medium"/>
    <x v="32"/>
  </r>
  <r>
    <s v="TJX "/>
    <s v="TJX Companies Inc "/>
    <x v="9"/>
    <n v="150"/>
    <d v="2010-04-23T00:00:00"/>
    <n v="48.01"/>
    <n v="49645861156"/>
    <n v="78.17"/>
    <n v="76.900000000000006"/>
    <n v="3.46"/>
    <n v="28"/>
    <n v="7229.5"/>
    <x v="33"/>
    <n v="0.62189639670793273"/>
    <n v="22.592485549132949"/>
    <s v="Large"/>
    <x v="33"/>
  </r>
  <r>
    <s v="WMT "/>
    <s v="Wal-Mart Stores Inc "/>
    <x v="9"/>
    <n v="100"/>
    <d v="2010-04-23T00:00:00"/>
    <n v="56.53"/>
    <n v="224654982481"/>
    <n v="74.8"/>
    <n v="74.069999999999993"/>
    <n v="4.38"/>
    <n v="28"/>
    <n v="5681"/>
    <x v="34"/>
    <n v="0.31666960042246084"/>
    <n v="17.077625570776256"/>
    <s v="Large"/>
    <x v="34"/>
  </r>
  <r>
    <s v="COST"/>
    <s v="Costco Wholesale Corp "/>
    <x v="9"/>
    <n v="150"/>
    <d v="2010-04-23T00:00:00"/>
    <n v="58.2"/>
    <n v="74646343192"/>
    <n v="170.15"/>
    <n v="170.06"/>
    <n v="5.42"/>
    <n v="28"/>
    <n v="8758"/>
    <x v="35"/>
    <n v="1.9141927380680521"/>
    <n v="31.392988929889299"/>
    <s v="Large"/>
    <x v="35"/>
  </r>
  <r>
    <s v="TGT"/>
    <s v="Target Corp "/>
    <x v="9"/>
    <n v="200"/>
    <d v="2010-04-23T00:00:00"/>
    <n v="55.95"/>
    <n v="29783674126"/>
    <n v="54.64"/>
    <n v="53.89"/>
    <n v="4.7"/>
    <n v="28"/>
    <n v="11218"/>
    <x v="36"/>
    <n v="-2.5851310394009626E-2"/>
    <n v="11.625531914893617"/>
    <s v="Large"/>
    <x v="3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822C65D-F155-0645-A2AB-09B83079D2AD}" name="PivotTable1"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rowHeaderCaption="Symbol">
  <location ref="A4:D35" firstHeaderRow="0" firstDataRow="1" firstDataCol="1" rowPageCount="1" colPageCount="1"/>
  <pivotFields count="17">
    <pivotField axis="axisRow" showAll="0">
      <items count="32">
        <item x="0"/>
        <item x="1"/>
        <item x="4"/>
        <item x="2"/>
        <item x="3"/>
        <item x="5"/>
        <item x="6"/>
        <item x="7"/>
        <item x="8"/>
        <item x="9"/>
        <item x="10"/>
        <item x="11"/>
        <item x="12"/>
        <item x="13"/>
        <item x="14"/>
        <item x="15"/>
        <item x="16"/>
        <item x="17"/>
        <item x="18"/>
        <item x="19"/>
        <item x="20"/>
        <item x="21"/>
        <item x="22"/>
        <item x="23"/>
        <item x="24"/>
        <item x="25"/>
        <item x="26"/>
        <item x="27"/>
        <item x="28"/>
        <item x="29"/>
        <item x="30"/>
        <item t="default"/>
      </items>
    </pivotField>
    <pivotField showAll="0"/>
    <pivotField axis="axisPage" showAll="0">
      <items count="11">
        <item x="1"/>
        <item x="5"/>
        <item x="2"/>
        <item x="0"/>
        <item x="8"/>
        <item x="9"/>
        <item x="4"/>
        <item x="6"/>
        <item x="3"/>
        <item x="7"/>
        <item t="default"/>
      </items>
    </pivotField>
    <pivotField showAll="0"/>
    <pivotField numFmtId="14" showAll="0"/>
    <pivotField showAll="0"/>
    <pivotField numFmtId="3" showAll="0"/>
    <pivotField showAll="0"/>
    <pivotField showAll="0"/>
    <pivotField dataField="1" showAll="0">
      <items count="32">
        <item x="29"/>
        <item x="5"/>
        <item x="24"/>
        <item x="22"/>
        <item x="28"/>
        <item x="19"/>
        <item x="13"/>
        <item x="30"/>
        <item x="7"/>
        <item x="18"/>
        <item x="0"/>
        <item x="4"/>
        <item x="20"/>
        <item x="9"/>
        <item x="23"/>
        <item x="3"/>
        <item x="25"/>
        <item x="17"/>
        <item x="12"/>
        <item x="21"/>
        <item x="16"/>
        <item x="6"/>
        <item x="15"/>
        <item x="10"/>
        <item x="26"/>
        <item x="8"/>
        <item x="27"/>
        <item x="2"/>
        <item x="14"/>
        <item x="1"/>
        <item x="11"/>
        <item t="default"/>
      </items>
    </pivotField>
    <pivotField numFmtId="164" showAll="0"/>
    <pivotField numFmtId="164" showAll="0"/>
    <pivotField numFmtId="164" showAll="0"/>
    <pivotField dataField="1" numFmtId="2" showAll="0">
      <items count="32">
        <item x="24"/>
        <item x="29"/>
        <item x="28"/>
        <item x="22"/>
        <item x="5"/>
        <item x="12"/>
        <item x="6"/>
        <item x="15"/>
        <item x="19"/>
        <item x="20"/>
        <item x="9"/>
        <item x="17"/>
        <item x="18"/>
        <item x="13"/>
        <item x="11"/>
        <item x="27"/>
        <item x="2"/>
        <item x="0"/>
        <item x="1"/>
        <item x="26"/>
        <item x="3"/>
        <item x="4"/>
        <item x="14"/>
        <item x="25"/>
        <item x="7"/>
        <item x="21"/>
        <item x="10"/>
        <item x="16"/>
        <item x="8"/>
        <item x="23"/>
        <item x="30"/>
        <item t="default"/>
      </items>
    </pivotField>
    <pivotField dataField="1" numFmtId="2" showAll="0">
      <items count="25">
        <item x="5"/>
        <item x="18"/>
        <item x="9"/>
        <item x="14"/>
        <item x="11"/>
        <item x="16"/>
        <item x="23"/>
        <item x="2"/>
        <item x="1"/>
        <item x="12"/>
        <item x="13"/>
        <item x="6"/>
        <item x="8"/>
        <item x="21"/>
        <item x="22"/>
        <item x="20"/>
        <item x="17"/>
        <item x="4"/>
        <item x="19"/>
        <item x="15"/>
        <item x="10"/>
        <item x="3"/>
        <item x="0"/>
        <item x="7"/>
        <item t="default"/>
      </items>
    </pivotField>
    <pivotField showAll="0"/>
    <pivotField numFmtId="10" showAll="0"/>
  </pivotFields>
  <rowFields count="1">
    <field x="0"/>
  </rowFields>
  <rowItems count="3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rowItems>
  <colFields count="1">
    <field x="-2"/>
  </colFields>
  <colItems count="3">
    <i>
      <x/>
    </i>
    <i i="1">
      <x v="1"/>
    </i>
    <i i="2">
      <x v="2"/>
    </i>
  </colItems>
  <pageFields count="1">
    <pageField fld="2" hier="-1"/>
  </pageFields>
  <dataFields count="3">
    <dataField name="Sum of P/E Ratio" fld="14" baseField="0" baseItem="0"/>
    <dataField name="Sum of Earnings Per Share" fld="9" baseField="0" baseItem="0"/>
    <dataField name="Sum of Return" fld="13" baseField="0" baseItem="0" numFmtId="9"/>
  </dataFields>
  <formats count="2">
    <format dxfId="3">
      <pivotArea outline="0" collapsedLevelsAreSubtotals="1" fieldPosition="0"/>
    </format>
    <format dxfId="2">
      <pivotArea outline="0" collapsedLevelsAreSubtotals="1" fieldPosition="0">
        <references count="1">
          <reference field="4294967294" count="1" selected="0">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AECC2CB-EEB2-FF4A-8153-C65E36965060}" name="PivotTable3"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rowHeaderCaption="Symbol">
  <location ref="A6:D38" firstHeaderRow="0" firstDataRow="1" firstDataCol="1" rowPageCount="1" colPageCount="1"/>
  <pivotFields count="17">
    <pivotField axis="axisRow" showAll="0">
      <items count="32">
        <item x="0"/>
        <item x="1"/>
        <item x="4"/>
        <item x="2"/>
        <item x="3"/>
        <item x="5"/>
        <item x="6"/>
        <item x="7"/>
        <item x="8"/>
        <item x="9"/>
        <item x="10"/>
        <item x="11"/>
        <item x="12"/>
        <item x="13"/>
        <item x="14"/>
        <item x="15"/>
        <item x="16"/>
        <item x="17"/>
        <item x="18"/>
        <item x="19"/>
        <item x="20"/>
        <item x="21"/>
        <item x="22"/>
        <item x="23"/>
        <item x="24"/>
        <item x="25"/>
        <item x="26"/>
        <item x="27"/>
        <item x="28"/>
        <item x="29"/>
        <item x="30"/>
        <item t="default"/>
      </items>
    </pivotField>
    <pivotField showAll="0"/>
    <pivotField axis="axisPage" showAll="0">
      <items count="11">
        <item x="1"/>
        <item x="5"/>
        <item x="2"/>
        <item x="0"/>
        <item x="8"/>
        <item x="9"/>
        <item x="4"/>
        <item x="6"/>
        <item x="3"/>
        <item x="7"/>
        <item t="default"/>
      </items>
    </pivotField>
    <pivotField showAll="0"/>
    <pivotField numFmtId="14" showAll="0"/>
    <pivotField dataField="1" showAll="0">
      <items count="32">
        <item x="19"/>
        <item x="29"/>
        <item x="23"/>
        <item x="30"/>
        <item x="9"/>
        <item x="20"/>
        <item x="7"/>
        <item x="25"/>
        <item x="22"/>
        <item x="4"/>
        <item x="18"/>
        <item x="0"/>
        <item x="17"/>
        <item x="21"/>
        <item x="13"/>
        <item x="3"/>
        <item x="16"/>
        <item x="8"/>
        <item x="24"/>
        <item x="26"/>
        <item x="10"/>
        <item x="15"/>
        <item x="12"/>
        <item x="27"/>
        <item x="28"/>
        <item x="14"/>
        <item x="2"/>
        <item x="5"/>
        <item x="6"/>
        <item x="1"/>
        <item x="11"/>
        <item t="default"/>
      </items>
    </pivotField>
    <pivotField numFmtId="3" showAll="0"/>
    <pivotField dataField="1" showAll="0">
      <items count="32">
        <item x="29"/>
        <item x="24"/>
        <item x="19"/>
        <item x="22"/>
        <item x="20"/>
        <item x="9"/>
        <item x="18"/>
        <item x="17"/>
        <item x="28"/>
        <item x="23"/>
        <item x="25"/>
        <item x="5"/>
        <item x="12"/>
        <item x="7"/>
        <item x="4"/>
        <item x="15"/>
        <item x="13"/>
        <item x="0"/>
        <item x="30"/>
        <item x="3"/>
        <item x="6"/>
        <item x="21"/>
        <item x="27"/>
        <item x="26"/>
        <item x="16"/>
        <item x="8"/>
        <item x="2"/>
        <item x="10"/>
        <item x="14"/>
        <item x="11"/>
        <item x="1"/>
        <item t="default"/>
      </items>
    </pivotField>
    <pivotField dataField="1" showAll="0">
      <items count="32">
        <item x="29"/>
        <item x="24"/>
        <item x="19"/>
        <item x="22"/>
        <item x="20"/>
        <item x="9"/>
        <item x="18"/>
        <item x="28"/>
        <item x="17"/>
        <item x="23"/>
        <item x="25"/>
        <item x="12"/>
        <item x="15"/>
        <item x="5"/>
        <item x="4"/>
        <item x="7"/>
        <item x="13"/>
        <item x="0"/>
        <item x="30"/>
        <item x="3"/>
        <item x="6"/>
        <item x="21"/>
        <item x="27"/>
        <item x="26"/>
        <item x="16"/>
        <item x="8"/>
        <item x="2"/>
        <item x="10"/>
        <item x="14"/>
        <item x="11"/>
        <item x="1"/>
        <item t="default"/>
      </items>
    </pivotField>
    <pivotField showAll="0"/>
    <pivotField numFmtId="164" showAll="0"/>
    <pivotField numFmtId="164" showAll="0"/>
    <pivotField numFmtId="164" showAll="0"/>
    <pivotField numFmtId="2" showAll="0"/>
    <pivotField numFmtId="2" showAll="0"/>
    <pivotField showAll="0"/>
    <pivotField numFmtId="10" showAll="0"/>
  </pivotFields>
  <rowFields count="1">
    <field x="0"/>
  </rowFields>
  <rowItems count="3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t="grand">
      <x/>
    </i>
  </rowItems>
  <colFields count="1">
    <field x="-2"/>
  </colFields>
  <colItems count="3">
    <i>
      <x/>
    </i>
    <i i="1">
      <x v="1"/>
    </i>
    <i i="2">
      <x v="2"/>
    </i>
  </colItems>
  <pageFields count="1">
    <pageField fld="2" hier="-1"/>
  </pageFields>
  <dataFields count="3">
    <dataField name="Sum of Purchase Price" fld="5" baseField="0" baseItem="0"/>
    <dataField name="Sum of Last Price" fld="7" baseField="0" baseItem="0"/>
    <dataField name="Sum of Previous Close" fld="8" baseField="0" baseItem="0"/>
  </dataFields>
  <formats count="1">
    <format dxfId="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2B58795-353F-D948-AD3C-EECEEA3BB350}" name="PivotTable4" cacheId="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
  <location ref="A3:B14" firstHeaderRow="1" firstDataRow="1" firstDataCol="1"/>
  <pivotFields count="17">
    <pivotField showAll="0"/>
    <pivotField showAll="0"/>
    <pivotField axis="axisRow" showAll="0">
      <items count="11">
        <item x="0"/>
        <item x="1"/>
        <item x="2"/>
        <item x="3"/>
        <item x="4"/>
        <item x="5"/>
        <item x="6"/>
        <item x="7"/>
        <item x="8"/>
        <item x="9"/>
        <item t="default"/>
      </items>
    </pivotField>
    <pivotField showAll="0"/>
    <pivotField numFmtId="14" showAll="0"/>
    <pivotField showAll="0"/>
    <pivotField numFmtId="164" showAll="0"/>
    <pivotField numFmtId="164" showAll="0"/>
    <pivotField numFmtId="164" showAll="0"/>
    <pivotField showAll="0"/>
    <pivotField numFmtId="164" showAll="0"/>
    <pivotField numFmtId="164" showAll="0"/>
    <pivotField dataField="1" numFmtId="164" showAll="0">
      <items count="38">
        <item x="26"/>
        <item x="20"/>
        <item x="29"/>
        <item x="28"/>
        <item x="23"/>
        <item x="21"/>
        <item x="30"/>
        <item x="1"/>
        <item x="18"/>
        <item x="5"/>
        <item x="22"/>
        <item x="12"/>
        <item x="27"/>
        <item x="24"/>
        <item x="17"/>
        <item x="25"/>
        <item x="19"/>
        <item x="13"/>
        <item x="32"/>
        <item x="6"/>
        <item x="7"/>
        <item x="8"/>
        <item x="10"/>
        <item x="15"/>
        <item x="4"/>
        <item x="34"/>
        <item x="2"/>
        <item x="9"/>
        <item x="31"/>
        <item x="3"/>
        <item x="0"/>
        <item x="16"/>
        <item x="11"/>
        <item x="36"/>
        <item x="33"/>
        <item x="14"/>
        <item x="35"/>
        <item t="default"/>
      </items>
    </pivotField>
    <pivotField numFmtId="9" showAll="0"/>
    <pivotField numFmtId="2" showAll="0"/>
    <pivotField showAll="0"/>
    <pivotField numFmtId="166" showAll="0">
      <items count="38">
        <item x="26"/>
        <item x="20"/>
        <item x="29"/>
        <item x="28"/>
        <item x="23"/>
        <item x="21"/>
        <item x="30"/>
        <item x="1"/>
        <item x="18"/>
        <item x="5"/>
        <item x="22"/>
        <item x="12"/>
        <item x="27"/>
        <item x="24"/>
        <item x="17"/>
        <item x="25"/>
        <item x="19"/>
        <item x="13"/>
        <item x="32"/>
        <item x="6"/>
        <item x="7"/>
        <item x="8"/>
        <item x="10"/>
        <item x="15"/>
        <item x="4"/>
        <item x="34"/>
        <item x="2"/>
        <item x="9"/>
        <item x="31"/>
        <item x="3"/>
        <item x="0"/>
        <item x="16"/>
        <item x="11"/>
        <item x="36"/>
        <item x="33"/>
        <item x="14"/>
        <item x="35"/>
        <item t="default"/>
      </items>
    </pivotField>
  </pivotFields>
  <rowFields count="1">
    <field x="2"/>
  </rowFields>
  <rowItems count="11">
    <i>
      <x/>
    </i>
    <i>
      <x v="1"/>
    </i>
    <i>
      <x v="2"/>
    </i>
    <i>
      <x v="3"/>
    </i>
    <i>
      <x v="4"/>
    </i>
    <i>
      <x v="5"/>
    </i>
    <i>
      <x v="6"/>
    </i>
    <i>
      <x v="7"/>
    </i>
    <i>
      <x v="8"/>
    </i>
    <i>
      <x v="9"/>
    </i>
    <i t="grand">
      <x/>
    </i>
  </rowItems>
  <colItems count="1">
    <i/>
  </colItems>
  <dataFields count="1">
    <dataField name="Sum of Current Value" fld="12" baseField="0" baseItem="0"/>
  </dataFields>
  <chartFormats count="20">
    <chartFormat chart="0" format="1" series="1">
      <pivotArea type="data" outline="0" fieldPosition="0">
        <references count="1">
          <reference field="4294967294" count="1" selected="0">
            <x v="0"/>
          </reference>
        </references>
      </pivotArea>
    </chartFormat>
    <chartFormat chart="0" format="2" series="1">
      <pivotArea type="data" outline="0" fieldPosition="0">
        <references count="2">
          <reference field="4294967294" count="1" selected="0">
            <x v="0"/>
          </reference>
          <reference field="2" count="1" selected="0">
            <x v="1"/>
          </reference>
        </references>
      </pivotArea>
    </chartFormat>
    <chartFormat chart="0" format="3" series="1">
      <pivotArea type="data" outline="0" fieldPosition="0">
        <references count="2">
          <reference field="4294967294" count="1" selected="0">
            <x v="0"/>
          </reference>
          <reference field="2" count="1" selected="0">
            <x v="2"/>
          </reference>
        </references>
      </pivotArea>
    </chartFormat>
    <chartFormat chart="0" format="4" series="1">
      <pivotArea type="data" outline="0" fieldPosition="0">
        <references count="2">
          <reference field="4294967294" count="1" selected="0">
            <x v="0"/>
          </reference>
          <reference field="2" count="1" selected="0">
            <x v="3"/>
          </reference>
        </references>
      </pivotArea>
    </chartFormat>
    <chartFormat chart="0" format="5" series="1">
      <pivotArea type="data" outline="0" fieldPosition="0">
        <references count="2">
          <reference field="4294967294" count="1" selected="0">
            <x v="0"/>
          </reference>
          <reference field="2" count="1" selected="0">
            <x v="4"/>
          </reference>
        </references>
      </pivotArea>
    </chartFormat>
    <chartFormat chart="0" format="6" series="1">
      <pivotArea type="data" outline="0" fieldPosition="0">
        <references count="2">
          <reference field="4294967294" count="1" selected="0">
            <x v="0"/>
          </reference>
          <reference field="2" count="1" selected="0">
            <x v="5"/>
          </reference>
        </references>
      </pivotArea>
    </chartFormat>
    <chartFormat chart="0" format="7" series="1">
      <pivotArea type="data" outline="0" fieldPosition="0">
        <references count="2">
          <reference field="4294967294" count="1" selected="0">
            <x v="0"/>
          </reference>
          <reference field="2" count="1" selected="0">
            <x v="6"/>
          </reference>
        </references>
      </pivotArea>
    </chartFormat>
    <chartFormat chart="0" format="8" series="1">
      <pivotArea type="data" outline="0" fieldPosition="0">
        <references count="2">
          <reference field="4294967294" count="1" selected="0">
            <x v="0"/>
          </reference>
          <reference field="2" count="1" selected="0">
            <x v="7"/>
          </reference>
        </references>
      </pivotArea>
    </chartFormat>
    <chartFormat chart="0" format="9" series="1">
      <pivotArea type="data" outline="0" fieldPosition="0">
        <references count="2">
          <reference field="4294967294" count="1" selected="0">
            <x v="0"/>
          </reference>
          <reference field="2" count="1" selected="0">
            <x v="8"/>
          </reference>
        </references>
      </pivotArea>
    </chartFormat>
    <chartFormat chart="0" format="10" series="1">
      <pivotArea type="data" outline="0" fieldPosition="0">
        <references count="2">
          <reference field="4294967294" count="1" selected="0">
            <x v="0"/>
          </reference>
          <reference field="2" count="1" selected="0">
            <x v="9"/>
          </reference>
        </references>
      </pivotArea>
    </chartFormat>
    <chartFormat chart="0" format="11">
      <pivotArea type="data" outline="0" fieldPosition="0">
        <references count="2">
          <reference field="4294967294" count="1" selected="0">
            <x v="0"/>
          </reference>
          <reference field="2" count="1" selected="0">
            <x v="0"/>
          </reference>
        </references>
      </pivotArea>
    </chartFormat>
    <chartFormat chart="0" format="12">
      <pivotArea type="data" outline="0" fieldPosition="0">
        <references count="2">
          <reference field="4294967294" count="1" selected="0">
            <x v="0"/>
          </reference>
          <reference field="2" count="1" selected="0">
            <x v="1"/>
          </reference>
        </references>
      </pivotArea>
    </chartFormat>
    <chartFormat chart="0" format="13">
      <pivotArea type="data" outline="0" fieldPosition="0">
        <references count="2">
          <reference field="4294967294" count="1" selected="0">
            <x v="0"/>
          </reference>
          <reference field="2" count="1" selected="0">
            <x v="2"/>
          </reference>
        </references>
      </pivotArea>
    </chartFormat>
    <chartFormat chart="0" format="14">
      <pivotArea type="data" outline="0" fieldPosition="0">
        <references count="2">
          <reference field="4294967294" count="1" selected="0">
            <x v="0"/>
          </reference>
          <reference field="2" count="1" selected="0">
            <x v="3"/>
          </reference>
        </references>
      </pivotArea>
    </chartFormat>
    <chartFormat chart="0" format="15">
      <pivotArea type="data" outline="0" fieldPosition="0">
        <references count="2">
          <reference field="4294967294" count="1" selected="0">
            <x v="0"/>
          </reference>
          <reference field="2" count="1" selected="0">
            <x v="4"/>
          </reference>
        </references>
      </pivotArea>
    </chartFormat>
    <chartFormat chart="0" format="16">
      <pivotArea type="data" outline="0" fieldPosition="0">
        <references count="2">
          <reference field="4294967294" count="1" selected="0">
            <x v="0"/>
          </reference>
          <reference field="2" count="1" selected="0">
            <x v="5"/>
          </reference>
        </references>
      </pivotArea>
    </chartFormat>
    <chartFormat chart="0" format="17">
      <pivotArea type="data" outline="0" fieldPosition="0">
        <references count="2">
          <reference field="4294967294" count="1" selected="0">
            <x v="0"/>
          </reference>
          <reference field="2" count="1" selected="0">
            <x v="6"/>
          </reference>
        </references>
      </pivotArea>
    </chartFormat>
    <chartFormat chart="0" format="18">
      <pivotArea type="data" outline="0" fieldPosition="0">
        <references count="2">
          <reference field="4294967294" count="1" selected="0">
            <x v="0"/>
          </reference>
          <reference field="2" count="1" selected="0">
            <x v="7"/>
          </reference>
        </references>
      </pivotArea>
    </chartFormat>
    <chartFormat chart="0" format="19">
      <pivotArea type="data" outline="0" fieldPosition="0">
        <references count="2">
          <reference field="4294967294" count="1" selected="0">
            <x v="0"/>
          </reference>
          <reference field="2" count="1" selected="0">
            <x v="8"/>
          </reference>
        </references>
      </pivotArea>
    </chartFormat>
    <chartFormat chart="0" format="20">
      <pivotArea type="data" outline="0" fieldPosition="0">
        <references count="2">
          <reference field="4294967294" count="1" selected="0">
            <x v="0"/>
          </reference>
          <reference field="2"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MSN MoneyCentral Investor Stock Quotes" preserveFormatting="0" connectionId="4" xr16:uid="{00000000-0016-0000-0100-000000000000}"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6" Type="http://schemas.openxmlformats.org/officeDocument/2006/relationships/hyperlink" Target="http://www.msn.com/en-us/money/stockdetails/126.1.HSY.NYS" TargetMode="External"/><Relationship Id="rId21" Type="http://schemas.openxmlformats.org/officeDocument/2006/relationships/hyperlink" Target="http://www.msn.com/en-us/money/stockdetails/charts/fi-126.1.HAS.NAS" TargetMode="External"/><Relationship Id="rId42" Type="http://schemas.openxmlformats.org/officeDocument/2006/relationships/hyperlink" Target="http://www.msn.com/en-us/money/stockdetails/charts/fi-126.1.KSS.NYS" TargetMode="External"/><Relationship Id="rId47" Type="http://schemas.openxmlformats.org/officeDocument/2006/relationships/hyperlink" Target="http://www.msn.com/en-us/money/stockdetails/126.1.MAT.NAS" TargetMode="External"/><Relationship Id="rId63" Type="http://schemas.openxmlformats.org/officeDocument/2006/relationships/hyperlink" Target="http://www.msn.com/en-us/money/stockdetails/charts/fi-126.1.PGR.NYS" TargetMode="External"/><Relationship Id="rId68" Type="http://schemas.openxmlformats.org/officeDocument/2006/relationships/hyperlink" Target="http://www.msn.com/en-us/money/stockdetails/126.1.WMT.NYS" TargetMode="External"/><Relationship Id="rId84" Type="http://schemas.openxmlformats.org/officeDocument/2006/relationships/hyperlink" Target="http://www.msn.com/en-us/money/stockdetails/charts/fi-126.1.EBAY.NAS" TargetMode="External"/><Relationship Id="rId89" Type="http://schemas.openxmlformats.org/officeDocument/2006/relationships/hyperlink" Target="http://www.msn.com/en-us/money/stockdetails/126.1.MSFT.NAS" TargetMode="External"/><Relationship Id="rId112" Type="http://schemas.openxmlformats.org/officeDocument/2006/relationships/hyperlink" Target="http://www.msn.com/en-us/money/stockdetails/126.1.ABT.NYS" TargetMode="External"/><Relationship Id="rId16" Type="http://schemas.openxmlformats.org/officeDocument/2006/relationships/hyperlink" Target="http://www.msn.com/en-us/money/stockdetails/126.1.DVN.NYS" TargetMode="External"/><Relationship Id="rId107" Type="http://schemas.openxmlformats.org/officeDocument/2006/relationships/hyperlink" Target="http://www.msn.com/en-us/money/stockdetails/126.1.WFM.NAS" TargetMode="External"/><Relationship Id="rId11" Type="http://schemas.openxmlformats.org/officeDocument/2006/relationships/hyperlink" Target="http://www.msn.com/en-us/money/stockdetails/126.1.CAG.NYS" TargetMode="External"/><Relationship Id="rId32" Type="http://schemas.openxmlformats.org/officeDocument/2006/relationships/hyperlink" Target="http://www.msn.com/en-us/money/stockdetails/126.1.ITT.NYS" TargetMode="External"/><Relationship Id="rId37" Type="http://schemas.openxmlformats.org/officeDocument/2006/relationships/hyperlink" Target="http://www.msn.com/en-us/money/stockdetails/126.1.JCI.NYS" TargetMode="External"/><Relationship Id="rId53" Type="http://schemas.openxmlformats.org/officeDocument/2006/relationships/hyperlink" Target="http://www.msn.com/en-us/money/stockdetails/126.1.MFC.NYS" TargetMode="External"/><Relationship Id="rId58" Type="http://schemas.openxmlformats.org/officeDocument/2006/relationships/hyperlink" Target="http://www.msn.com/en-us/money/stockdetails/126.1.NBR.NYS" TargetMode="External"/><Relationship Id="rId74" Type="http://schemas.openxmlformats.org/officeDocument/2006/relationships/hyperlink" Target="http://www.msn.com/en-us/money/stockdetails/126.1.YGE.NYS" TargetMode="External"/><Relationship Id="rId79" Type="http://schemas.openxmlformats.org/officeDocument/2006/relationships/hyperlink" Target="http://www.msn.com/en-us/money/stockdetails/126.1.X.NYS" TargetMode="External"/><Relationship Id="rId102" Type="http://schemas.openxmlformats.org/officeDocument/2006/relationships/hyperlink" Target="http://www.msn.com/en-us/money/stockdetails/charts/fi-126.1.TGT.NYS" TargetMode="External"/><Relationship Id="rId5" Type="http://schemas.openxmlformats.org/officeDocument/2006/relationships/hyperlink" Target="http://www.msn.com/en-us/money/stockdetails/126.1.COL.NYS" TargetMode="External"/><Relationship Id="rId90" Type="http://schemas.openxmlformats.org/officeDocument/2006/relationships/hyperlink" Target="http://www.msn.com/en-us/money/stockdetails/charts/fi-126.1.MSFT.NAS" TargetMode="External"/><Relationship Id="rId95" Type="http://schemas.openxmlformats.org/officeDocument/2006/relationships/hyperlink" Target="http://www.msn.com/en-us/money/stockdetails/126.1.DO.NYS" TargetMode="External"/><Relationship Id="rId22" Type="http://schemas.openxmlformats.org/officeDocument/2006/relationships/hyperlink" Target="http://www.msn.com/en-us/money/stockdetails/126.1.HAS.NAS" TargetMode="External"/><Relationship Id="rId27" Type="http://schemas.openxmlformats.org/officeDocument/2006/relationships/hyperlink" Target="http://www.msn.com/en-us/money/stockdetails/charts/fi-126.1.HSY.NYS" TargetMode="External"/><Relationship Id="rId43" Type="http://schemas.openxmlformats.org/officeDocument/2006/relationships/hyperlink" Target="http://www.msn.com/en-us/money/stockdetails/126.1.KSS.NYS" TargetMode="External"/><Relationship Id="rId48" Type="http://schemas.openxmlformats.org/officeDocument/2006/relationships/hyperlink" Target="http://www.msn.com/en-us/money/stockdetails/charts/fi-126.1.MAT.NAS" TargetMode="External"/><Relationship Id="rId64" Type="http://schemas.openxmlformats.org/officeDocument/2006/relationships/hyperlink" Target="http://www.msn.com/en-us/money/stockdetails/126.1.PGR.NYS" TargetMode="External"/><Relationship Id="rId69" Type="http://schemas.openxmlformats.org/officeDocument/2006/relationships/hyperlink" Target="http://www.msn.com/en-us/money/stockdetails/charts/fi-126.1.WMT.NYS" TargetMode="External"/><Relationship Id="rId113" Type="http://schemas.openxmlformats.org/officeDocument/2006/relationships/hyperlink" Target="http://www.msn.com/en-us/money/stockdetails/126.1.GSK.NYS" TargetMode="External"/><Relationship Id="rId80" Type="http://schemas.openxmlformats.org/officeDocument/2006/relationships/hyperlink" Target="http://www.msn.com/en-us/money/stockdetails/126.1.M.NYS" TargetMode="External"/><Relationship Id="rId85" Type="http://schemas.openxmlformats.org/officeDocument/2006/relationships/hyperlink" Target="http://www.msn.com/en-us/money/stockdetails/126.1.EBAY.NAS" TargetMode="External"/><Relationship Id="rId12" Type="http://schemas.openxmlformats.org/officeDocument/2006/relationships/hyperlink" Target="http://www.msn.com/en-us/money/stockdetails/charts/fi-126.1.CAG.NYS" TargetMode="External"/><Relationship Id="rId17" Type="http://schemas.openxmlformats.org/officeDocument/2006/relationships/hyperlink" Target="http://www.msn.com/en-us/money/stockdetails/126.1.GIS.NYS" TargetMode="External"/><Relationship Id="rId33" Type="http://schemas.openxmlformats.org/officeDocument/2006/relationships/hyperlink" Target="http://www.msn.com/en-us/money/stockdetails/charts/fi-126.1.ITT.NYS" TargetMode="External"/><Relationship Id="rId38" Type="http://schemas.openxmlformats.org/officeDocument/2006/relationships/hyperlink" Target="http://www.msn.com/en-us/money/stockdetails/126.1.JNJ.NYS" TargetMode="External"/><Relationship Id="rId59" Type="http://schemas.openxmlformats.org/officeDocument/2006/relationships/hyperlink" Target="http://www.msn.com/en-us/money/stockdetails/126.1.NE.NYS" TargetMode="External"/><Relationship Id="rId103" Type="http://schemas.openxmlformats.org/officeDocument/2006/relationships/hyperlink" Target="http://www.msn.com/en-us/money/stockdetails/126.1.TGT.NYS" TargetMode="External"/><Relationship Id="rId108" Type="http://schemas.openxmlformats.org/officeDocument/2006/relationships/hyperlink" Target="http://www.msn.com/en-us/money/stockdetails/charts/fi-126.1.WFM.NAS" TargetMode="External"/><Relationship Id="rId54" Type="http://schemas.openxmlformats.org/officeDocument/2006/relationships/hyperlink" Target="http://www.msn.com/en-us/money/stockdetails/charts/fi-126.1.MFC.NYS" TargetMode="External"/><Relationship Id="rId70" Type="http://schemas.openxmlformats.org/officeDocument/2006/relationships/hyperlink" Target="http://www.msn.com/en-us/money/stockdetails/126.1.WMT.NYS" TargetMode="External"/><Relationship Id="rId75" Type="http://schemas.openxmlformats.org/officeDocument/2006/relationships/hyperlink" Target="http://www.msn.com/en-us/money/stockdetails/charts/fi-126.1.YGE.NYS" TargetMode="External"/><Relationship Id="rId91" Type="http://schemas.openxmlformats.org/officeDocument/2006/relationships/hyperlink" Target="http://www.msn.com/en-us/money/stockdetails/126.1.MSFT.NAS" TargetMode="External"/><Relationship Id="rId96" Type="http://schemas.openxmlformats.org/officeDocument/2006/relationships/hyperlink" Target="http://www.msn.com/en-us/money/stockdetails/charts/fi-126.1.DO.NYS" TargetMode="External"/><Relationship Id="rId1" Type="http://schemas.openxmlformats.org/officeDocument/2006/relationships/hyperlink" Target="http://money.msn.com/" TargetMode="External"/><Relationship Id="rId6" Type="http://schemas.openxmlformats.org/officeDocument/2006/relationships/hyperlink" Target="http://www.msn.com/en-us/money/stockdetails/charts/fi-126.1.COL.NYS" TargetMode="External"/><Relationship Id="rId15" Type="http://schemas.openxmlformats.org/officeDocument/2006/relationships/hyperlink" Target="http://www.msn.com/en-us/money/stockdetails/charts/fi-126.1.DVN.NYS" TargetMode="External"/><Relationship Id="rId23" Type="http://schemas.openxmlformats.org/officeDocument/2006/relationships/hyperlink" Target="http://www.msn.com/en-us/money/stockdetails/126.1.HPQ.NYS" TargetMode="External"/><Relationship Id="rId28" Type="http://schemas.openxmlformats.org/officeDocument/2006/relationships/hyperlink" Target="http://www.msn.com/en-us/money/stockdetails/126.1.HSY.NYS" TargetMode="External"/><Relationship Id="rId36" Type="http://schemas.openxmlformats.org/officeDocument/2006/relationships/hyperlink" Target="http://www.msn.com/en-us/money/stockdetails/charts/fi-126.1.JCI.NYS" TargetMode="External"/><Relationship Id="rId49" Type="http://schemas.openxmlformats.org/officeDocument/2006/relationships/hyperlink" Target="http://www.msn.com/en-us/money/stockdetails/126.1.MAT.NAS" TargetMode="External"/><Relationship Id="rId57" Type="http://schemas.openxmlformats.org/officeDocument/2006/relationships/hyperlink" Target="http://www.msn.com/en-us/money/stockdetails/charts/fi-126.1.NBR.NYS" TargetMode="External"/><Relationship Id="rId106" Type="http://schemas.openxmlformats.org/officeDocument/2006/relationships/hyperlink" Target="http://www.msn.com/en-us/money/indexdetails/41.10.WXSP" TargetMode="External"/><Relationship Id="rId114" Type="http://schemas.openxmlformats.org/officeDocument/2006/relationships/hyperlink" Target="http://www.msn.com/en-us/money/stockdetails/charts/fi-126.1.GSK.NYS" TargetMode="External"/><Relationship Id="rId10" Type="http://schemas.openxmlformats.org/officeDocument/2006/relationships/hyperlink" Target="http://www.msn.com/en-us/money/stockdetails/126.1.CPB.NYS" TargetMode="External"/><Relationship Id="rId31" Type="http://schemas.openxmlformats.org/officeDocument/2006/relationships/hyperlink" Target="http://www.msn.com/en-us/money/stockdetails/126.1.IBM.NYS" TargetMode="External"/><Relationship Id="rId44" Type="http://schemas.openxmlformats.org/officeDocument/2006/relationships/hyperlink" Target="http://www.msn.com/en-us/money/stockdetails/126.1.LLY.NYS" TargetMode="External"/><Relationship Id="rId52" Type="http://schemas.openxmlformats.org/officeDocument/2006/relationships/hyperlink" Target="http://www.msn.com/en-us/money/stockdetails/126.1.MBI.NYS" TargetMode="External"/><Relationship Id="rId60" Type="http://schemas.openxmlformats.org/officeDocument/2006/relationships/hyperlink" Target="http://www.msn.com/en-us/money/stockdetails/charts/fi-126.1.NE.NYS" TargetMode="External"/><Relationship Id="rId65" Type="http://schemas.openxmlformats.org/officeDocument/2006/relationships/hyperlink" Target="http://www.msn.com/en-us/money/stockdetails/126.1.TJX.NYS" TargetMode="External"/><Relationship Id="rId73" Type="http://schemas.openxmlformats.org/officeDocument/2006/relationships/hyperlink" Target="http://www.msn.com/en-us/money/stockdetails/126.1.YHOO.NAS" TargetMode="External"/><Relationship Id="rId78" Type="http://schemas.openxmlformats.org/officeDocument/2006/relationships/hyperlink" Target="http://www.msn.com/en-us/money/stockdetails/charts/fi-126.1.X.NYS" TargetMode="External"/><Relationship Id="rId81" Type="http://schemas.openxmlformats.org/officeDocument/2006/relationships/hyperlink" Target="http://www.msn.com/en-us/money/stockdetails/charts/fi-126.1.M.NYS" TargetMode="External"/><Relationship Id="rId86" Type="http://schemas.openxmlformats.org/officeDocument/2006/relationships/hyperlink" Target="http://www.msn.com/en-us/money/stockdetails/126.1.AMGN.NAS" TargetMode="External"/><Relationship Id="rId94" Type="http://schemas.openxmlformats.org/officeDocument/2006/relationships/hyperlink" Target="http://www.msn.com/en-us/money/stockdetails/126.1.COST.NAS" TargetMode="External"/><Relationship Id="rId99" Type="http://schemas.openxmlformats.org/officeDocument/2006/relationships/hyperlink" Target="http://www.msn.com/en-us/money/stockdetails/charts/fi-126.1.QCOM.NAS" TargetMode="External"/><Relationship Id="rId101" Type="http://schemas.openxmlformats.org/officeDocument/2006/relationships/hyperlink" Target="http://www.msn.com/en-us/money/stockdetails/126.1.TGT.NYS" TargetMode="External"/><Relationship Id="rId4" Type="http://schemas.openxmlformats.org/officeDocument/2006/relationships/hyperlink" Target="http://investing.money.msn.com/investments/find-symbol" TargetMode="External"/><Relationship Id="rId9" Type="http://schemas.openxmlformats.org/officeDocument/2006/relationships/hyperlink" Target="http://www.msn.com/en-us/money/stockdetails/charts/fi-126.1.CPB.NYS" TargetMode="External"/><Relationship Id="rId13" Type="http://schemas.openxmlformats.org/officeDocument/2006/relationships/hyperlink" Target="http://www.msn.com/en-us/money/stockdetails/126.1.CAG.NYS" TargetMode="External"/><Relationship Id="rId18" Type="http://schemas.openxmlformats.org/officeDocument/2006/relationships/hyperlink" Target="http://www.msn.com/en-us/money/stockdetails/charts/fi-126.1.GIS.NYS" TargetMode="External"/><Relationship Id="rId39" Type="http://schemas.openxmlformats.org/officeDocument/2006/relationships/hyperlink" Target="http://www.msn.com/en-us/money/stockdetails/charts/fi-126.1.JNJ.NYS" TargetMode="External"/><Relationship Id="rId109" Type="http://schemas.openxmlformats.org/officeDocument/2006/relationships/hyperlink" Target="http://www.msn.com/en-us/money/stockdetails/126.1.WFM.NAS" TargetMode="External"/><Relationship Id="rId34" Type="http://schemas.openxmlformats.org/officeDocument/2006/relationships/hyperlink" Target="http://www.msn.com/en-us/money/stockdetails/126.1.ITT.NYS" TargetMode="External"/><Relationship Id="rId50" Type="http://schemas.openxmlformats.org/officeDocument/2006/relationships/hyperlink" Target="http://www.msn.com/en-us/money/stockdetails/126.1.MBI.NYS" TargetMode="External"/><Relationship Id="rId55" Type="http://schemas.openxmlformats.org/officeDocument/2006/relationships/hyperlink" Target="http://www.msn.com/en-us/money/stockdetails/126.1.MFC.NYS" TargetMode="External"/><Relationship Id="rId76" Type="http://schemas.openxmlformats.org/officeDocument/2006/relationships/hyperlink" Target="http://www.msn.com/en-us/money/stockdetails/126.1.YGE.NYS" TargetMode="External"/><Relationship Id="rId97" Type="http://schemas.openxmlformats.org/officeDocument/2006/relationships/hyperlink" Target="http://www.msn.com/en-us/money/stockdetails/126.1.DO.NYS" TargetMode="External"/><Relationship Id="rId104" Type="http://schemas.openxmlformats.org/officeDocument/2006/relationships/hyperlink" Target="http://www.msn.com/en-us/money/indexdetails/41.10.WXSP" TargetMode="External"/><Relationship Id="rId7" Type="http://schemas.openxmlformats.org/officeDocument/2006/relationships/hyperlink" Target="http://www.msn.com/en-us/money/stockdetails/126.1.COL.NYS" TargetMode="External"/><Relationship Id="rId71" Type="http://schemas.openxmlformats.org/officeDocument/2006/relationships/hyperlink" Target="http://www.msn.com/en-us/money/stockdetails/126.1.YHOO.NAS" TargetMode="External"/><Relationship Id="rId92" Type="http://schemas.openxmlformats.org/officeDocument/2006/relationships/hyperlink" Target="http://www.msn.com/en-us/money/stockdetails/126.1.COST.NAS" TargetMode="External"/><Relationship Id="rId2" Type="http://schemas.openxmlformats.org/officeDocument/2006/relationships/hyperlink" Target="http://office.microsoft.com/" TargetMode="External"/><Relationship Id="rId29" Type="http://schemas.openxmlformats.org/officeDocument/2006/relationships/hyperlink" Target="http://www.msn.com/en-us/money/stockdetails/126.1.IBM.NYS" TargetMode="External"/><Relationship Id="rId24" Type="http://schemas.openxmlformats.org/officeDocument/2006/relationships/hyperlink" Target="http://www.msn.com/en-us/money/stockdetails/charts/fi-126.1.HPQ.NYS" TargetMode="External"/><Relationship Id="rId40" Type="http://schemas.openxmlformats.org/officeDocument/2006/relationships/hyperlink" Target="http://www.msn.com/en-us/money/stockdetails/126.1.JNJ.NYS" TargetMode="External"/><Relationship Id="rId45" Type="http://schemas.openxmlformats.org/officeDocument/2006/relationships/hyperlink" Target="http://www.msn.com/en-us/money/stockdetails/charts/fi-126.1.LLY.NYS" TargetMode="External"/><Relationship Id="rId66" Type="http://schemas.openxmlformats.org/officeDocument/2006/relationships/hyperlink" Target="http://www.msn.com/en-us/money/stockdetails/charts/fi-126.1.TJX.NYS" TargetMode="External"/><Relationship Id="rId87" Type="http://schemas.openxmlformats.org/officeDocument/2006/relationships/hyperlink" Target="http://www.msn.com/en-us/money/stockdetails/charts/fi-126.1.AMGN.NAS" TargetMode="External"/><Relationship Id="rId110" Type="http://schemas.openxmlformats.org/officeDocument/2006/relationships/hyperlink" Target="http://www.msn.com/en-us/money/stockdetails/126.1.ABT.NYS" TargetMode="External"/><Relationship Id="rId115" Type="http://schemas.openxmlformats.org/officeDocument/2006/relationships/hyperlink" Target="http://www.msn.com/en-us/money/stockdetails/126.1.GSK.NYS" TargetMode="External"/><Relationship Id="rId61" Type="http://schemas.openxmlformats.org/officeDocument/2006/relationships/hyperlink" Target="http://www.msn.com/en-us/money/stockdetails/126.1.NE.NYS" TargetMode="External"/><Relationship Id="rId82" Type="http://schemas.openxmlformats.org/officeDocument/2006/relationships/hyperlink" Target="http://www.msn.com/en-us/money/stockdetails/126.1.M.NYS" TargetMode="External"/><Relationship Id="rId19" Type="http://schemas.openxmlformats.org/officeDocument/2006/relationships/hyperlink" Target="http://www.msn.com/en-us/money/stockdetails/126.1.GIS.NYS" TargetMode="External"/><Relationship Id="rId14" Type="http://schemas.openxmlformats.org/officeDocument/2006/relationships/hyperlink" Target="http://www.msn.com/en-us/money/stockdetails/126.1.DVN.NYS" TargetMode="External"/><Relationship Id="rId30" Type="http://schemas.openxmlformats.org/officeDocument/2006/relationships/hyperlink" Target="http://www.msn.com/en-us/money/stockdetails/charts/fi-126.1.IBM.NYS" TargetMode="External"/><Relationship Id="rId35" Type="http://schemas.openxmlformats.org/officeDocument/2006/relationships/hyperlink" Target="http://www.msn.com/en-us/money/stockdetails/126.1.JCI.NYS" TargetMode="External"/><Relationship Id="rId56" Type="http://schemas.openxmlformats.org/officeDocument/2006/relationships/hyperlink" Target="http://www.msn.com/en-us/money/stockdetails/126.1.NBR.NYS" TargetMode="External"/><Relationship Id="rId77" Type="http://schemas.openxmlformats.org/officeDocument/2006/relationships/hyperlink" Target="http://www.msn.com/en-us/money/stockdetails/126.1.X.NYS" TargetMode="External"/><Relationship Id="rId100" Type="http://schemas.openxmlformats.org/officeDocument/2006/relationships/hyperlink" Target="http://www.msn.com/en-us/money/stockdetails/126.1.QCOM.NAS" TargetMode="External"/><Relationship Id="rId105" Type="http://schemas.openxmlformats.org/officeDocument/2006/relationships/hyperlink" Target="http://www.msn.com/en-us/money/indexdetails/charts/fi-41.10.WXSP" TargetMode="External"/><Relationship Id="rId8" Type="http://schemas.openxmlformats.org/officeDocument/2006/relationships/hyperlink" Target="http://www.msn.com/en-us/money/stockdetails/126.1.CPB.NYS" TargetMode="External"/><Relationship Id="rId51" Type="http://schemas.openxmlformats.org/officeDocument/2006/relationships/hyperlink" Target="http://www.msn.com/en-us/money/stockdetails/charts/fi-126.1.MBI.NYS" TargetMode="External"/><Relationship Id="rId72" Type="http://schemas.openxmlformats.org/officeDocument/2006/relationships/hyperlink" Target="http://www.msn.com/en-us/money/stockdetails/charts/fi-126.1.YHOO.NAS" TargetMode="External"/><Relationship Id="rId93" Type="http://schemas.openxmlformats.org/officeDocument/2006/relationships/hyperlink" Target="http://www.msn.com/en-us/money/stockdetails/charts/fi-126.1.COST.NAS" TargetMode="External"/><Relationship Id="rId98" Type="http://schemas.openxmlformats.org/officeDocument/2006/relationships/hyperlink" Target="http://www.msn.com/en-us/money/stockdetails/126.1.QCOM.NAS" TargetMode="External"/><Relationship Id="rId3" Type="http://schemas.openxmlformats.org/officeDocument/2006/relationships/hyperlink" Target="http://money.msn.com/" TargetMode="External"/><Relationship Id="rId25" Type="http://schemas.openxmlformats.org/officeDocument/2006/relationships/hyperlink" Target="http://www.msn.com/en-us/money/stockdetails/126.1.HPQ.NYS" TargetMode="External"/><Relationship Id="rId46" Type="http://schemas.openxmlformats.org/officeDocument/2006/relationships/hyperlink" Target="http://www.msn.com/en-us/money/stockdetails/126.1.LLY.NYS" TargetMode="External"/><Relationship Id="rId67" Type="http://schemas.openxmlformats.org/officeDocument/2006/relationships/hyperlink" Target="http://www.msn.com/en-us/money/stockdetails/126.1.TJX.NYS" TargetMode="External"/><Relationship Id="rId116" Type="http://schemas.openxmlformats.org/officeDocument/2006/relationships/queryTable" Target="../queryTables/queryTable1.xml"/><Relationship Id="rId20" Type="http://schemas.openxmlformats.org/officeDocument/2006/relationships/hyperlink" Target="http://www.msn.com/en-us/money/stockdetails/126.1.HAS.NAS" TargetMode="External"/><Relationship Id="rId41" Type="http://schemas.openxmlformats.org/officeDocument/2006/relationships/hyperlink" Target="http://www.msn.com/en-us/money/stockdetails/126.1.KSS.NYS" TargetMode="External"/><Relationship Id="rId62" Type="http://schemas.openxmlformats.org/officeDocument/2006/relationships/hyperlink" Target="http://www.msn.com/en-us/money/stockdetails/126.1.PGR.NYS" TargetMode="External"/><Relationship Id="rId83" Type="http://schemas.openxmlformats.org/officeDocument/2006/relationships/hyperlink" Target="http://www.msn.com/en-us/money/stockdetails/126.1.EBAY.NAS" TargetMode="External"/><Relationship Id="rId88" Type="http://schemas.openxmlformats.org/officeDocument/2006/relationships/hyperlink" Target="http://www.msn.com/en-us/money/stockdetails/126.1.AMGN.NAS" TargetMode="External"/><Relationship Id="rId111" Type="http://schemas.openxmlformats.org/officeDocument/2006/relationships/hyperlink" Target="http://www.msn.com/en-us/money/stockdetails/charts/fi-126.1.ABT.NYS"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ivotTable" Target="../pivotTables/pivotTable2.xml"/></Relationships>
</file>

<file path=xl/worksheets/_rels/sheet12.xml.rels><?xml version="1.0" encoding="UTF-8" standalone="yes"?>
<Relationships xmlns="http://schemas.openxmlformats.org/package/2006/relationships"><Relationship Id="rId3" Type="http://schemas.openxmlformats.org/officeDocument/2006/relationships/hyperlink" Target="http://www.msn.com/en-us/money/stockdetails/126.1.DO.NYS" TargetMode="External"/><Relationship Id="rId7" Type="http://schemas.openxmlformats.org/officeDocument/2006/relationships/printerSettings" Target="../printerSettings/printerSettings11.bin"/><Relationship Id="rId2" Type="http://schemas.openxmlformats.org/officeDocument/2006/relationships/hyperlink" Target="http://www.msn.com/en-us/money/stockdetails/126.1.COST.NAS" TargetMode="External"/><Relationship Id="rId1" Type="http://schemas.openxmlformats.org/officeDocument/2006/relationships/hyperlink" Target="http://www.msn.com/en-us/money/stockdetails/126.1.EBAY.NAS" TargetMode="External"/><Relationship Id="rId6" Type="http://schemas.openxmlformats.org/officeDocument/2006/relationships/hyperlink" Target="http://www.msn.com/en-us/money/stockdetails/126.1.WFM.NAS" TargetMode="External"/><Relationship Id="rId5" Type="http://schemas.openxmlformats.org/officeDocument/2006/relationships/hyperlink" Target="http://www.msn.com/en-us/money/stockdetails/126.1.TGT.NYS" TargetMode="External"/><Relationship Id="rId4" Type="http://schemas.openxmlformats.org/officeDocument/2006/relationships/hyperlink" Target="http://www.msn.com/en-us/money/stockdetails/126.1.QCOM.NAS" TargetMode="Externa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3.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E63"/>
  <sheetViews>
    <sheetView tabSelected="1" view="pageLayout" zoomScaleNormal="100" workbookViewId="0">
      <selection activeCell="B1" sqref="B1"/>
    </sheetView>
  </sheetViews>
  <sheetFormatPr baseColWidth="10" defaultColWidth="8.83203125" defaultRowHeight="13"/>
  <cols>
    <col min="1" max="1" width="21.83203125" customWidth="1"/>
    <col min="2" max="2" width="58.5" customWidth="1"/>
    <col min="4" max="4" width="8.6640625" customWidth="1"/>
  </cols>
  <sheetData>
    <row r="1" spans="1:5" ht="24" customHeight="1">
      <c r="A1" s="64" t="s">
        <v>136</v>
      </c>
      <c r="B1" s="74" t="s">
        <v>390</v>
      </c>
      <c r="C1" s="75"/>
      <c r="D1" s="75"/>
      <c r="E1" s="75"/>
    </row>
    <row r="2" spans="1:5" ht="15.75" customHeight="1">
      <c r="A2" s="65" t="s">
        <v>137</v>
      </c>
      <c r="B2" s="320">
        <v>5022479393</v>
      </c>
      <c r="C2" s="76"/>
      <c r="D2" s="76"/>
      <c r="E2" s="76"/>
    </row>
    <row r="3" spans="1:5" ht="29.25" customHeight="1">
      <c r="A3" s="318" t="s">
        <v>392</v>
      </c>
      <c r="B3" s="319"/>
    </row>
    <row r="4" spans="1:5">
      <c r="A4" s="83" t="s">
        <v>393</v>
      </c>
      <c r="B4" s="83" t="s">
        <v>391</v>
      </c>
    </row>
    <row r="5" spans="1:5" ht="14">
      <c r="A5" s="45" t="s">
        <v>394</v>
      </c>
      <c r="B5" s="321" t="s">
        <v>453</v>
      </c>
    </row>
    <row r="6" spans="1:5" ht="14">
      <c r="A6" s="45" t="s">
        <v>451</v>
      </c>
      <c r="B6" s="321" t="s">
        <v>452</v>
      </c>
    </row>
    <row r="7" spans="1:5" ht="14">
      <c r="A7" s="45" t="s">
        <v>395</v>
      </c>
      <c r="B7" s="321" t="s">
        <v>450</v>
      </c>
    </row>
    <row r="8" spans="1:5" ht="28">
      <c r="A8" s="45" t="s">
        <v>396</v>
      </c>
      <c r="B8" s="321" t="s">
        <v>449</v>
      </c>
    </row>
    <row r="9" spans="1:5" ht="42">
      <c r="A9" s="45" t="s">
        <v>397</v>
      </c>
      <c r="B9" s="321" t="s">
        <v>448</v>
      </c>
    </row>
    <row r="10" spans="1:5" ht="14">
      <c r="A10" s="45" t="s">
        <v>398</v>
      </c>
      <c r="B10" s="321" t="s">
        <v>447</v>
      </c>
    </row>
    <row r="11" spans="1:5" ht="14">
      <c r="A11" s="45" t="s">
        <v>399</v>
      </c>
      <c r="B11" s="321" t="s">
        <v>446</v>
      </c>
    </row>
    <row r="12" spans="1:5" ht="28">
      <c r="A12" s="45" t="s">
        <v>400</v>
      </c>
      <c r="B12" s="321" t="s">
        <v>445</v>
      </c>
    </row>
    <row r="13" spans="1:5" ht="28">
      <c r="A13" s="45" t="s">
        <v>401</v>
      </c>
      <c r="B13" s="321" t="s">
        <v>444</v>
      </c>
    </row>
    <row r="14" spans="1:5" ht="28">
      <c r="A14" s="45" t="s">
        <v>402</v>
      </c>
      <c r="B14" s="321" t="s">
        <v>443</v>
      </c>
    </row>
    <row r="15" spans="1:5" ht="28">
      <c r="A15" s="45" t="s">
        <v>403</v>
      </c>
      <c r="B15" s="321" t="s">
        <v>442</v>
      </c>
    </row>
    <row r="16" spans="1:5" ht="28">
      <c r="A16" s="45" t="s">
        <v>404</v>
      </c>
      <c r="B16" s="321" t="s">
        <v>441</v>
      </c>
    </row>
    <row r="17" spans="1:2" ht="28">
      <c r="A17" s="45" t="s">
        <v>405</v>
      </c>
      <c r="B17" s="321" t="s">
        <v>440</v>
      </c>
    </row>
    <row r="18" spans="1:2" ht="28">
      <c r="A18" s="45" t="s">
        <v>406</v>
      </c>
      <c r="B18" s="321" t="s">
        <v>439</v>
      </c>
    </row>
    <row r="19" spans="1:2" ht="28">
      <c r="A19" s="45" t="s">
        <v>407</v>
      </c>
      <c r="B19" s="321" t="s">
        <v>438</v>
      </c>
    </row>
    <row r="20" spans="1:2" ht="14">
      <c r="A20" s="45" t="s">
        <v>408</v>
      </c>
      <c r="B20" s="321" t="s">
        <v>437</v>
      </c>
    </row>
    <row r="21" spans="1:2" ht="28">
      <c r="A21" s="45" t="s">
        <v>409</v>
      </c>
      <c r="B21" s="321" t="s">
        <v>436</v>
      </c>
    </row>
    <row r="22" spans="1:2" ht="14">
      <c r="A22" s="45" t="s">
        <v>410</v>
      </c>
      <c r="B22" s="321" t="s">
        <v>435</v>
      </c>
    </row>
    <row r="23" spans="1:2" ht="14">
      <c r="A23" s="45" t="s">
        <v>411</v>
      </c>
      <c r="B23" s="321" t="s">
        <v>434</v>
      </c>
    </row>
    <row r="24" spans="1:2" ht="14">
      <c r="A24" s="45" t="s">
        <v>412</v>
      </c>
      <c r="B24" s="321" t="s">
        <v>433</v>
      </c>
    </row>
    <row r="25" spans="1:2" ht="28">
      <c r="A25" s="45" t="s">
        <v>413</v>
      </c>
      <c r="B25" s="321" t="s">
        <v>432</v>
      </c>
    </row>
    <row r="26" spans="1:2" ht="28">
      <c r="A26" s="45" t="s">
        <v>414</v>
      </c>
      <c r="B26" s="321" t="s">
        <v>423</v>
      </c>
    </row>
    <row r="27" spans="1:2" ht="56">
      <c r="A27" s="45" t="s">
        <v>415</v>
      </c>
      <c r="B27" s="321" t="s">
        <v>424</v>
      </c>
    </row>
    <row r="28" spans="1:2" ht="28">
      <c r="A28" s="45" t="s">
        <v>416</v>
      </c>
      <c r="B28" s="321" t="s">
        <v>426</v>
      </c>
    </row>
    <row r="29" spans="1:2" ht="28">
      <c r="A29" s="45" t="s">
        <v>417</v>
      </c>
      <c r="B29" s="321" t="s">
        <v>425</v>
      </c>
    </row>
    <row r="30" spans="1:2" ht="28">
      <c r="A30" s="45" t="s">
        <v>418</v>
      </c>
      <c r="B30" s="321" t="s">
        <v>427</v>
      </c>
    </row>
    <row r="31" spans="1:2" ht="28">
      <c r="A31" s="45" t="s">
        <v>419</v>
      </c>
      <c r="B31" s="321" t="s">
        <v>428</v>
      </c>
    </row>
    <row r="32" spans="1:2" ht="28">
      <c r="A32" s="45" t="s">
        <v>420</v>
      </c>
      <c r="B32" s="321" t="s">
        <v>429</v>
      </c>
    </row>
    <row r="33" spans="1:2" ht="14">
      <c r="A33" s="45" t="s">
        <v>421</v>
      </c>
      <c r="B33" s="321" t="s">
        <v>430</v>
      </c>
    </row>
    <row r="34" spans="1:2" ht="14">
      <c r="A34" s="45" t="s">
        <v>422</v>
      </c>
      <c r="B34" s="321" t="s">
        <v>431</v>
      </c>
    </row>
    <row r="35" spans="1:2">
      <c r="A35" s="23"/>
      <c r="B35" s="23"/>
    </row>
    <row r="36" spans="1:2">
      <c r="A36" s="23"/>
      <c r="B36" s="23"/>
    </row>
    <row r="37" spans="1:2">
      <c r="A37" s="23"/>
      <c r="B37" s="23"/>
    </row>
    <row r="38" spans="1:2">
      <c r="A38" s="23"/>
      <c r="B38" s="23"/>
    </row>
    <row r="39" spans="1:2">
      <c r="A39" s="23"/>
      <c r="B39" s="23"/>
    </row>
    <row r="40" spans="1:2">
      <c r="A40" s="23"/>
      <c r="B40" s="23"/>
    </row>
    <row r="41" spans="1:2">
      <c r="A41" s="23"/>
      <c r="B41" s="23"/>
    </row>
    <row r="42" spans="1:2">
      <c r="A42" s="23"/>
      <c r="B42" s="23"/>
    </row>
    <row r="43" spans="1:2">
      <c r="A43" s="23"/>
      <c r="B43" s="23"/>
    </row>
    <row r="44" spans="1:2">
      <c r="A44" s="23"/>
      <c r="B44" s="23"/>
    </row>
    <row r="45" spans="1:2">
      <c r="A45" s="23"/>
      <c r="B45" s="23"/>
    </row>
    <row r="46" spans="1:2">
      <c r="A46" s="23"/>
      <c r="B46" s="23"/>
    </row>
    <row r="47" spans="1:2">
      <c r="A47" s="23"/>
      <c r="B47" s="23"/>
    </row>
    <row r="48" spans="1:2">
      <c r="A48" s="23"/>
      <c r="B48" s="23"/>
    </row>
    <row r="49" spans="1:2">
      <c r="A49" s="23"/>
      <c r="B49" s="23"/>
    </row>
    <row r="50" spans="1:2">
      <c r="A50" s="23"/>
      <c r="B50" s="23"/>
    </row>
    <row r="51" spans="1:2">
      <c r="A51" s="23"/>
      <c r="B51" s="23"/>
    </row>
    <row r="52" spans="1:2">
      <c r="A52" s="23"/>
      <c r="B52" s="23"/>
    </row>
    <row r="53" spans="1:2">
      <c r="A53" s="23"/>
      <c r="B53" s="23"/>
    </row>
    <row r="54" spans="1:2">
      <c r="A54" s="23"/>
      <c r="B54" s="23"/>
    </row>
    <row r="55" spans="1:2">
      <c r="A55" s="23"/>
      <c r="B55" s="23"/>
    </row>
    <row r="56" spans="1:2">
      <c r="A56" s="23"/>
      <c r="B56" s="23"/>
    </row>
    <row r="57" spans="1:2">
      <c r="A57" s="23"/>
      <c r="B57" s="23"/>
    </row>
    <row r="58" spans="1:2">
      <c r="A58" s="23"/>
      <c r="B58" s="23"/>
    </row>
    <row r="59" spans="1:2">
      <c r="A59" s="23"/>
      <c r="B59" s="23"/>
    </row>
    <row r="60" spans="1:2">
      <c r="A60" s="23"/>
      <c r="B60" s="23"/>
    </row>
    <row r="61" spans="1:2">
      <c r="A61" s="23"/>
      <c r="B61" s="23"/>
    </row>
    <row r="62" spans="1:2">
      <c r="A62" s="23"/>
      <c r="B62" s="23"/>
    </row>
    <row r="63" spans="1:2">
      <c r="A63" s="23"/>
      <c r="B63" s="23"/>
    </row>
  </sheetData>
  <mergeCells count="1">
    <mergeCell ref="A3:B3"/>
  </mergeCells>
  <pageMargins left="0.7" right="0.7" top="0.75" bottom="0.75" header="0.3" footer="0.3"/>
  <pageSetup orientation="portrait" r:id="rId1"/>
  <headerFooter>
    <oddHeader>&amp;CStephanie Agbenorhevi</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3"/>
  <dimension ref="A1:R62"/>
  <sheetViews>
    <sheetView view="pageLayout" zoomScaleNormal="90" workbookViewId="0">
      <selection activeCell="B7" sqref="B7"/>
    </sheetView>
  </sheetViews>
  <sheetFormatPr baseColWidth="10" defaultColWidth="8.83203125" defaultRowHeight="13"/>
  <cols>
    <col min="1" max="1" width="9.1640625" customWidth="1"/>
    <col min="2" max="2" width="36.5" customWidth="1"/>
    <col min="3" max="4" width="6.5" customWidth="1"/>
    <col min="5" max="8" width="10" customWidth="1"/>
    <col min="9" max="9" width="14.33203125" customWidth="1"/>
    <col min="10" max="10" width="8.5" customWidth="1"/>
    <col min="11" max="11" width="9.5" bestFit="1" customWidth="1"/>
    <col min="12" max="13" width="10" customWidth="1"/>
    <col min="14" max="14" width="15.6640625" customWidth="1"/>
    <col min="15" max="15" width="6.33203125" customWidth="1"/>
    <col min="16" max="16" width="8.5" customWidth="1"/>
    <col min="17" max="17" width="14.33203125" customWidth="1"/>
  </cols>
  <sheetData>
    <row r="1" spans="1:18">
      <c r="A1" s="267" t="s">
        <v>111</v>
      </c>
      <c r="B1" s="268"/>
      <c r="C1" s="268"/>
      <c r="D1" s="269"/>
    </row>
    <row r="2" spans="1:18">
      <c r="A2" s="270"/>
      <c r="B2" s="271"/>
      <c r="C2" s="271"/>
      <c r="D2" s="272"/>
    </row>
    <row r="3" spans="1:18" ht="14" thickBot="1"/>
    <row r="4" spans="1:18" ht="19" thickBot="1">
      <c r="B4" s="264" t="s">
        <v>205</v>
      </c>
      <c r="C4" s="265"/>
      <c r="D4" s="266"/>
    </row>
    <row r="11" spans="1:18" ht="25" thickBot="1">
      <c r="A11" s="1"/>
      <c r="B11" s="277" t="s">
        <v>53</v>
      </c>
      <c r="C11" s="278"/>
      <c r="D11" s="278"/>
      <c r="E11" s="278"/>
      <c r="F11" s="278"/>
      <c r="G11" s="278"/>
      <c r="H11" s="278"/>
      <c r="I11" s="278"/>
      <c r="J11" s="278"/>
      <c r="K11" s="278"/>
      <c r="L11" s="278"/>
      <c r="M11" s="278"/>
      <c r="N11" s="278"/>
      <c r="O11" s="278"/>
      <c r="P11" s="278"/>
      <c r="Q11" s="278"/>
      <c r="R11" s="1"/>
    </row>
    <row r="12" spans="1:18">
      <c r="A12" s="1"/>
      <c r="B12" s="279" t="s">
        <v>54</v>
      </c>
      <c r="C12" s="280"/>
      <c r="D12" s="280"/>
      <c r="E12" s="280"/>
      <c r="F12" s="280"/>
      <c r="G12" s="280"/>
      <c r="H12" s="280"/>
      <c r="I12" s="280"/>
      <c r="J12" s="280"/>
      <c r="K12" s="280"/>
      <c r="L12" s="280"/>
      <c r="M12" s="280"/>
      <c r="N12" s="280"/>
      <c r="O12" s="280"/>
      <c r="P12" s="280"/>
      <c r="Q12" s="280"/>
      <c r="R12" s="1"/>
    </row>
    <row r="13" spans="1:18">
      <c r="A13" s="83"/>
      <c r="B13" s="117"/>
      <c r="C13" s="118"/>
      <c r="D13" s="118"/>
      <c r="E13" s="34" t="s">
        <v>55</v>
      </c>
      <c r="F13" s="34" t="s">
        <v>18</v>
      </c>
      <c r="G13" s="34" t="s">
        <v>56</v>
      </c>
      <c r="H13" s="34" t="s">
        <v>57</v>
      </c>
      <c r="I13" s="34" t="s">
        <v>58</v>
      </c>
      <c r="J13" s="34" t="s">
        <v>59</v>
      </c>
      <c r="K13" s="34" t="s">
        <v>60</v>
      </c>
      <c r="L13" s="34" t="s">
        <v>61</v>
      </c>
      <c r="M13" s="34" t="s">
        <v>62</v>
      </c>
      <c r="N13" s="34" t="s">
        <v>63</v>
      </c>
      <c r="O13" s="34" t="s">
        <v>64</v>
      </c>
      <c r="P13" s="34" t="s">
        <v>25</v>
      </c>
      <c r="Q13" s="34" t="s">
        <v>65</v>
      </c>
      <c r="R13" s="1"/>
    </row>
    <row r="14" spans="1:18" ht="14">
      <c r="A14" s="1" t="s">
        <v>171</v>
      </c>
      <c r="B14" s="114" t="s">
        <v>170</v>
      </c>
      <c r="C14" s="115" t="s">
        <v>67</v>
      </c>
      <c r="D14" s="116" t="s">
        <v>68</v>
      </c>
      <c r="E14" s="96">
        <v>43.98</v>
      </c>
      <c r="F14" s="97">
        <v>43.59</v>
      </c>
      <c r="G14" s="97">
        <v>44.15</v>
      </c>
      <c r="H14" s="97">
        <v>43.52</v>
      </c>
      <c r="I14" s="98">
        <v>5862061</v>
      </c>
      <c r="J14" s="97">
        <v>0.39</v>
      </c>
      <c r="K14" s="99">
        <v>0.89</v>
      </c>
      <c r="L14" s="97">
        <v>45.84</v>
      </c>
      <c r="M14" s="97">
        <v>36.76</v>
      </c>
      <c r="N14" s="98">
        <v>75323415209</v>
      </c>
      <c r="O14" s="97">
        <v>0.94</v>
      </c>
      <c r="P14" s="97">
        <v>61.35</v>
      </c>
      <c r="Q14" s="98">
        <v>1727997596</v>
      </c>
      <c r="R14" s="1"/>
    </row>
    <row r="15" spans="1:18" ht="14">
      <c r="A15" s="83" t="s">
        <v>177</v>
      </c>
      <c r="B15" s="95" t="s">
        <v>144</v>
      </c>
      <c r="C15" s="94" t="s">
        <v>67</v>
      </c>
      <c r="D15" s="95" t="s">
        <v>68</v>
      </c>
      <c r="E15" s="96">
        <v>162.72</v>
      </c>
      <c r="F15" s="97">
        <v>164.4</v>
      </c>
      <c r="G15" s="97">
        <v>164.7</v>
      </c>
      <c r="H15" s="97">
        <v>162.30000000000001</v>
      </c>
      <c r="I15" s="98">
        <v>868677</v>
      </c>
      <c r="J15" s="97">
        <v>-1.68</v>
      </c>
      <c r="K15" s="99">
        <v>-1.02</v>
      </c>
      <c r="L15" s="97">
        <v>181.81</v>
      </c>
      <c r="M15" s="97">
        <v>130.09</v>
      </c>
      <c r="N15" s="98">
        <v>123606162095</v>
      </c>
      <c r="O15" s="97">
        <v>9.06</v>
      </c>
      <c r="P15" s="97">
        <v>18.149999999999999</v>
      </c>
      <c r="Q15" s="98">
        <v>750032702</v>
      </c>
      <c r="R15" s="1"/>
    </row>
    <row r="16" spans="1:18" ht="14">
      <c r="A16" s="100" t="s">
        <v>90</v>
      </c>
      <c r="B16" s="95" t="s">
        <v>66</v>
      </c>
      <c r="C16" s="94" t="s">
        <v>67</v>
      </c>
      <c r="D16" s="95" t="s">
        <v>68</v>
      </c>
      <c r="E16" s="38">
        <v>99.59</v>
      </c>
      <c r="F16" s="39">
        <v>98.04</v>
      </c>
      <c r="G16" s="39">
        <v>99.85</v>
      </c>
      <c r="H16" s="39">
        <v>97.68</v>
      </c>
      <c r="I16" s="40">
        <v>2386610</v>
      </c>
      <c r="J16" s="39">
        <v>1.55</v>
      </c>
      <c r="K16" s="41">
        <v>1.58</v>
      </c>
      <c r="L16" s="39">
        <v>100.24</v>
      </c>
      <c r="M16" s="39">
        <v>78.540000000000006</v>
      </c>
      <c r="N16" s="40">
        <v>15857072051</v>
      </c>
      <c r="O16" s="39">
        <v>5.59</v>
      </c>
      <c r="P16" s="39">
        <v>17.79</v>
      </c>
      <c r="Q16" s="40">
        <v>161740841</v>
      </c>
      <c r="R16" s="1"/>
    </row>
    <row r="17" spans="1:18" ht="14">
      <c r="A17" s="100" t="s">
        <v>91</v>
      </c>
      <c r="B17" s="95" t="s">
        <v>145</v>
      </c>
      <c r="C17" s="94" t="s">
        <v>67</v>
      </c>
      <c r="D17" s="95" t="s">
        <v>68</v>
      </c>
      <c r="E17" s="38">
        <v>57.5</v>
      </c>
      <c r="F17" s="39">
        <v>57.28</v>
      </c>
      <c r="G17" s="39">
        <v>57.62</v>
      </c>
      <c r="H17" s="39">
        <v>56.61</v>
      </c>
      <c r="I17" s="40">
        <v>1418593</v>
      </c>
      <c r="J17" s="39">
        <v>0.22</v>
      </c>
      <c r="K17" s="41">
        <v>0.38</v>
      </c>
      <c r="L17" s="39">
        <v>67.89</v>
      </c>
      <c r="M17" s="39">
        <v>52.585000000000001</v>
      </c>
      <c r="N17" s="40">
        <v>17434838571</v>
      </c>
      <c r="O17" s="39">
        <v>1.61</v>
      </c>
      <c r="P17" s="39">
        <v>35.71</v>
      </c>
      <c r="Q17" s="40">
        <v>304379165</v>
      </c>
      <c r="R17" s="1"/>
    </row>
    <row r="18" spans="1:18" ht="14">
      <c r="A18" s="101" t="s">
        <v>44</v>
      </c>
      <c r="B18" s="95" t="s">
        <v>80</v>
      </c>
      <c r="C18" s="94" t="s">
        <v>67</v>
      </c>
      <c r="D18" s="95" t="s">
        <v>68</v>
      </c>
      <c r="E18" s="38">
        <v>40.72</v>
      </c>
      <c r="F18" s="39">
        <v>40.479999999999997</v>
      </c>
      <c r="G18" s="39">
        <v>40.89</v>
      </c>
      <c r="H18" s="39">
        <v>40.4</v>
      </c>
      <c r="I18" s="40">
        <v>2347083</v>
      </c>
      <c r="J18" s="39">
        <v>0.24</v>
      </c>
      <c r="K18" s="41">
        <v>0.59</v>
      </c>
      <c r="L18" s="39">
        <v>41.68</v>
      </c>
      <c r="M18" s="39">
        <v>33.075200000000002</v>
      </c>
      <c r="N18" s="40">
        <v>17224304201</v>
      </c>
      <c r="O18" s="39">
        <v>1.38</v>
      </c>
      <c r="P18" s="39">
        <v>28.65</v>
      </c>
      <c r="Q18" s="40">
        <v>142405586</v>
      </c>
      <c r="R18" s="1"/>
    </row>
    <row r="19" spans="1:18" ht="14">
      <c r="A19" s="100" t="s">
        <v>92</v>
      </c>
      <c r="B19" s="95" t="s">
        <v>69</v>
      </c>
      <c r="C19" s="94" t="s">
        <v>67</v>
      </c>
      <c r="D19" s="95" t="s">
        <v>68</v>
      </c>
      <c r="E19" s="38">
        <v>39.700000000000003</v>
      </c>
      <c r="F19" s="39">
        <v>39.25</v>
      </c>
      <c r="G19" s="39">
        <v>39.94</v>
      </c>
      <c r="H19" s="39">
        <v>39.340000000000003</v>
      </c>
      <c r="I19" s="40">
        <v>3502155</v>
      </c>
      <c r="J19" s="39">
        <v>0.45</v>
      </c>
      <c r="K19" s="41">
        <v>1.1499999999999999</v>
      </c>
      <c r="L19" s="39">
        <v>50.69</v>
      </c>
      <c r="M19" s="39">
        <v>29.6</v>
      </c>
      <c r="N19" s="40">
        <v>20590550000</v>
      </c>
      <c r="O19" s="39">
        <v>-6.52</v>
      </c>
      <c r="P19" s="39">
        <v>-6.09</v>
      </c>
      <c r="Q19" s="40">
        <v>524600000</v>
      </c>
      <c r="R19" s="1"/>
    </row>
    <row r="20" spans="1:18" ht="14">
      <c r="A20" s="100" t="s">
        <v>176</v>
      </c>
      <c r="B20" s="95" t="s">
        <v>70</v>
      </c>
      <c r="C20" s="94" t="s">
        <v>67</v>
      </c>
      <c r="D20" s="95" t="s">
        <v>68</v>
      </c>
      <c r="E20" s="38">
        <v>57.88</v>
      </c>
      <c r="F20" s="39">
        <v>57.84</v>
      </c>
      <c r="G20" s="39">
        <v>58.13</v>
      </c>
      <c r="H20" s="39">
        <v>57.46</v>
      </c>
      <c r="I20" s="40">
        <v>2967005</v>
      </c>
      <c r="J20" s="39">
        <v>0.04</v>
      </c>
      <c r="K20" s="41">
        <v>7.0000000000000007E-2</v>
      </c>
      <c r="L20" s="39">
        <v>72.95</v>
      </c>
      <c r="M20" s="39">
        <v>57.14</v>
      </c>
      <c r="N20" s="40">
        <v>33323671651</v>
      </c>
      <c r="O20" s="39">
        <v>2.7</v>
      </c>
      <c r="P20" s="39">
        <v>21.46</v>
      </c>
      <c r="Q20" s="40">
        <v>576135402</v>
      </c>
      <c r="R20" s="1"/>
    </row>
    <row r="21" spans="1:18" ht="14">
      <c r="A21" s="100" t="s">
        <v>173</v>
      </c>
      <c r="B21" s="93" t="s">
        <v>172</v>
      </c>
      <c r="C21" s="35" t="s">
        <v>67</v>
      </c>
      <c r="D21" s="36" t="s">
        <v>68</v>
      </c>
      <c r="E21" s="38">
        <v>40.71</v>
      </c>
      <c r="F21" s="39">
        <v>40.840000000000003</v>
      </c>
      <c r="G21" s="39">
        <v>40.909999999999997</v>
      </c>
      <c r="H21" s="39">
        <v>40.71</v>
      </c>
      <c r="I21" s="40">
        <v>3459718</v>
      </c>
      <c r="J21" s="39">
        <v>-0.13</v>
      </c>
      <c r="K21" s="41">
        <v>-0.32</v>
      </c>
      <c r="L21" s="39">
        <v>45.58</v>
      </c>
      <c r="M21" s="39">
        <v>37.200000000000003</v>
      </c>
      <c r="N21" s="40">
        <v>109621013986</v>
      </c>
      <c r="O21" s="39">
        <v>0.37</v>
      </c>
      <c r="P21" s="39">
        <v>85.47</v>
      </c>
      <c r="Q21" s="40">
        <v>2684158031</v>
      </c>
      <c r="R21" s="1"/>
    </row>
    <row r="22" spans="1:18" ht="14">
      <c r="A22" s="100" t="s">
        <v>94</v>
      </c>
      <c r="B22" s="95" t="s">
        <v>146</v>
      </c>
      <c r="C22" s="94" t="s">
        <v>67</v>
      </c>
      <c r="D22" s="95" t="s">
        <v>68</v>
      </c>
      <c r="E22" s="38">
        <v>96.01</v>
      </c>
      <c r="F22" s="39">
        <v>95.51</v>
      </c>
      <c r="G22" s="39">
        <v>96.56</v>
      </c>
      <c r="H22" s="39">
        <v>95.52</v>
      </c>
      <c r="I22" s="40">
        <v>1018419</v>
      </c>
      <c r="J22" s="39">
        <v>0.5</v>
      </c>
      <c r="K22" s="41">
        <v>0.52</v>
      </c>
      <c r="L22" s="39">
        <v>101.08</v>
      </c>
      <c r="M22" s="39">
        <v>76.14</v>
      </c>
      <c r="N22" s="40">
        <v>11939394310</v>
      </c>
      <c r="O22" s="39">
        <v>4.34</v>
      </c>
      <c r="P22" s="39">
        <v>22.12</v>
      </c>
      <c r="Q22" s="40">
        <v>125006746</v>
      </c>
      <c r="R22" s="1"/>
    </row>
    <row r="23" spans="1:18" ht="14">
      <c r="A23" s="101" t="s">
        <v>52</v>
      </c>
      <c r="B23" s="95" t="s">
        <v>147</v>
      </c>
      <c r="C23" s="94" t="s">
        <v>67</v>
      </c>
      <c r="D23" s="95" t="s">
        <v>68</v>
      </c>
      <c r="E23" s="38">
        <v>18.52</v>
      </c>
      <c r="F23" s="39">
        <v>18.38</v>
      </c>
      <c r="G23" s="39">
        <v>18.57</v>
      </c>
      <c r="H23" s="39">
        <v>18.29</v>
      </c>
      <c r="I23" s="40">
        <v>6786300</v>
      </c>
      <c r="J23" s="39">
        <v>0.14000000000000001</v>
      </c>
      <c r="K23" s="41">
        <v>0.76</v>
      </c>
      <c r="L23" s="39">
        <v>18.61</v>
      </c>
      <c r="M23" s="39">
        <v>11.31</v>
      </c>
      <c r="N23" s="40">
        <v>31076572682</v>
      </c>
      <c r="O23" s="39">
        <v>1.46</v>
      </c>
      <c r="P23" s="39">
        <v>12.11</v>
      </c>
      <c r="Q23" s="40">
        <v>1690781974</v>
      </c>
      <c r="R23" s="1"/>
    </row>
    <row r="24" spans="1:18" ht="14">
      <c r="A24" s="100" t="s">
        <v>95</v>
      </c>
      <c r="B24" s="95" t="s">
        <v>148</v>
      </c>
      <c r="C24" s="94" t="s">
        <v>67</v>
      </c>
      <c r="D24" s="95" t="s">
        <v>68</v>
      </c>
      <c r="E24" s="38">
        <v>108.8</v>
      </c>
      <c r="F24" s="39">
        <v>108.63</v>
      </c>
      <c r="G24" s="39">
        <v>109.09</v>
      </c>
      <c r="H24" s="39">
        <v>108.09</v>
      </c>
      <c r="I24" s="40">
        <v>940267</v>
      </c>
      <c r="J24" s="39">
        <v>0.17</v>
      </c>
      <c r="K24" s="41">
        <v>0.16</v>
      </c>
      <c r="L24" s="39">
        <v>117.79</v>
      </c>
      <c r="M24" s="39">
        <v>87.92</v>
      </c>
      <c r="N24" s="40">
        <v>23104464730</v>
      </c>
      <c r="O24" s="39">
        <v>3.34</v>
      </c>
      <c r="P24" s="39">
        <v>32.57</v>
      </c>
      <c r="Q24" s="40">
        <v>152069763</v>
      </c>
      <c r="R24" s="1"/>
    </row>
    <row r="25" spans="1:18" ht="14.25" customHeight="1">
      <c r="A25" s="102" t="s">
        <v>96</v>
      </c>
      <c r="B25" s="95" t="s">
        <v>71</v>
      </c>
      <c r="C25" s="94" t="s">
        <v>67</v>
      </c>
      <c r="D25" s="95" t="s">
        <v>68</v>
      </c>
      <c r="E25" s="38">
        <v>162.30000000000001</v>
      </c>
      <c r="F25" s="39">
        <v>161.69</v>
      </c>
      <c r="G25" s="39">
        <v>162.4</v>
      </c>
      <c r="H25" s="39">
        <v>160.5</v>
      </c>
      <c r="I25" s="40">
        <v>6486809</v>
      </c>
      <c r="J25" s="39">
        <v>0.61</v>
      </c>
      <c r="K25" s="41">
        <v>0.38</v>
      </c>
      <c r="L25" s="39">
        <v>182.79</v>
      </c>
      <c r="M25" s="39">
        <v>142.5</v>
      </c>
      <c r="N25" s="40">
        <v>152508037371</v>
      </c>
      <c r="O25" s="39">
        <v>12.38</v>
      </c>
      <c r="P25" s="39">
        <v>13.11</v>
      </c>
      <c r="Q25" s="40">
        <v>943212551</v>
      </c>
      <c r="R25" s="1"/>
    </row>
    <row r="26" spans="1:18" ht="14">
      <c r="A26" s="100" t="s">
        <v>97</v>
      </c>
      <c r="B26" s="95" t="s">
        <v>149</v>
      </c>
      <c r="C26" s="94" t="s">
        <v>67</v>
      </c>
      <c r="D26" s="95" t="s">
        <v>68</v>
      </c>
      <c r="E26" s="38">
        <v>39.96</v>
      </c>
      <c r="F26" s="39">
        <v>39</v>
      </c>
      <c r="G26" s="39">
        <v>40.21</v>
      </c>
      <c r="H26" s="39">
        <v>39.36</v>
      </c>
      <c r="I26" s="40">
        <v>389536</v>
      </c>
      <c r="J26" s="39">
        <v>0.96</v>
      </c>
      <c r="K26" s="41">
        <v>2.46</v>
      </c>
      <c r="L26" s="39">
        <v>44</v>
      </c>
      <c r="M26" s="39">
        <v>30.06</v>
      </c>
      <c r="N26" s="40">
        <v>3457914174</v>
      </c>
      <c r="O26" s="39">
        <v>2.0699999999999998</v>
      </c>
      <c r="P26" s="39">
        <v>19.760000000000002</v>
      </c>
      <c r="Q26" s="40">
        <v>88664466</v>
      </c>
      <c r="R26" s="1"/>
    </row>
    <row r="27" spans="1:18" ht="14">
      <c r="A27" s="100" t="s">
        <v>98</v>
      </c>
      <c r="B27" s="95" t="s">
        <v>72</v>
      </c>
      <c r="C27" s="94" t="s">
        <v>67</v>
      </c>
      <c r="D27" s="95" t="s">
        <v>68</v>
      </c>
      <c r="E27" s="38">
        <v>41.73</v>
      </c>
      <c r="F27" s="39">
        <v>41.28</v>
      </c>
      <c r="G27" s="39">
        <v>41.94</v>
      </c>
      <c r="H27" s="39">
        <v>41.39</v>
      </c>
      <c r="I27" s="40">
        <v>2947836</v>
      </c>
      <c r="J27" s="39">
        <v>0.45</v>
      </c>
      <c r="K27" s="41">
        <v>1.0900000000000001</v>
      </c>
      <c r="L27" s="39">
        <v>46.17</v>
      </c>
      <c r="M27" s="39">
        <v>34.007199999999997</v>
      </c>
      <c r="N27" s="40">
        <v>38749953547</v>
      </c>
      <c r="O27" s="39">
        <v>-1.64</v>
      </c>
      <c r="P27" s="39">
        <v>-31.15</v>
      </c>
      <c r="Q27" s="40">
        <v>938710115</v>
      </c>
      <c r="R27" s="1"/>
    </row>
    <row r="28" spans="1:18" ht="14">
      <c r="A28" s="100" t="s">
        <v>99</v>
      </c>
      <c r="B28" s="95" t="s">
        <v>73</v>
      </c>
      <c r="C28" s="94" t="s">
        <v>67</v>
      </c>
      <c r="D28" s="95" t="s">
        <v>68</v>
      </c>
      <c r="E28" s="38">
        <v>121.87</v>
      </c>
      <c r="F28" s="39">
        <v>121.37</v>
      </c>
      <c r="G28" s="39">
        <v>122.15</v>
      </c>
      <c r="H28" s="39">
        <v>121.35</v>
      </c>
      <c r="I28" s="40">
        <v>6330136</v>
      </c>
      <c r="J28" s="39">
        <v>0.5</v>
      </c>
      <c r="K28" s="41">
        <v>0.41</v>
      </c>
      <c r="L28" s="39">
        <v>129</v>
      </c>
      <c r="M28" s="39">
        <v>109.32</v>
      </c>
      <c r="N28" s="40">
        <v>329020961069</v>
      </c>
      <c r="O28" s="39">
        <v>5.93</v>
      </c>
      <c r="P28" s="39">
        <v>20.53</v>
      </c>
      <c r="Q28" s="40">
        <v>2710891992</v>
      </c>
      <c r="R28" s="1"/>
    </row>
    <row r="29" spans="1:18" ht="14">
      <c r="A29" s="100" t="s">
        <v>100</v>
      </c>
      <c r="B29" s="95" t="s">
        <v>150</v>
      </c>
      <c r="C29" s="94" t="s">
        <v>67</v>
      </c>
      <c r="D29" s="95" t="s">
        <v>68</v>
      </c>
      <c r="E29" s="38">
        <v>40.76</v>
      </c>
      <c r="F29" s="39">
        <v>39.18</v>
      </c>
      <c r="G29" s="39">
        <v>41.09</v>
      </c>
      <c r="H29" s="39">
        <v>39.64</v>
      </c>
      <c r="I29" s="40">
        <v>4866839</v>
      </c>
      <c r="J29" s="39">
        <v>1.58</v>
      </c>
      <c r="K29" s="41">
        <v>4.03</v>
      </c>
      <c r="L29" s="39">
        <v>59.67</v>
      </c>
      <c r="M29" s="39">
        <v>33.869999999999997</v>
      </c>
      <c r="N29" s="40">
        <v>6752919598</v>
      </c>
      <c r="O29" s="39">
        <v>3.11</v>
      </c>
      <c r="P29" s="39">
        <v>13.11</v>
      </c>
      <c r="Q29" s="40">
        <v>172356294</v>
      </c>
      <c r="R29" s="1"/>
    </row>
    <row r="30" spans="1:18" ht="14">
      <c r="A30" s="100" t="s">
        <v>122</v>
      </c>
      <c r="B30" s="95" t="s">
        <v>151</v>
      </c>
      <c r="C30" s="94" t="s">
        <v>67</v>
      </c>
      <c r="D30" s="95" t="s">
        <v>68</v>
      </c>
      <c r="E30" s="38">
        <v>81.94</v>
      </c>
      <c r="F30" s="39">
        <v>80.89</v>
      </c>
      <c r="G30" s="39">
        <v>82.2</v>
      </c>
      <c r="H30" s="39">
        <v>80.75</v>
      </c>
      <c r="I30" s="40">
        <v>3267398</v>
      </c>
      <c r="J30" s="39">
        <v>1.05</v>
      </c>
      <c r="K30" s="41">
        <v>1.3</v>
      </c>
      <c r="L30" s="39">
        <v>86.72</v>
      </c>
      <c r="M30" s="39">
        <v>64.180000000000007</v>
      </c>
      <c r="N30" s="40">
        <v>89250333937</v>
      </c>
      <c r="O30" s="39">
        <v>2.58</v>
      </c>
      <c r="P30" s="39">
        <v>31.75</v>
      </c>
      <c r="Q30" s="40">
        <v>1103354357</v>
      </c>
      <c r="R30" s="1"/>
    </row>
    <row r="31" spans="1:18" ht="14">
      <c r="A31" s="100" t="s">
        <v>165</v>
      </c>
      <c r="B31" s="95" t="s">
        <v>152</v>
      </c>
      <c r="C31" s="94" t="s">
        <v>67</v>
      </c>
      <c r="D31" s="95" t="s">
        <v>68</v>
      </c>
      <c r="E31" s="38">
        <v>30.01</v>
      </c>
      <c r="F31" s="39">
        <v>29.09</v>
      </c>
      <c r="G31" s="39">
        <v>30.18</v>
      </c>
      <c r="H31" s="39">
        <v>29.32</v>
      </c>
      <c r="I31" s="40">
        <v>5348654</v>
      </c>
      <c r="J31" s="39">
        <v>0.92</v>
      </c>
      <c r="K31" s="41">
        <v>3.16</v>
      </c>
      <c r="L31" s="39">
        <v>45.41</v>
      </c>
      <c r="M31" s="39">
        <v>27.72</v>
      </c>
      <c r="N31" s="40">
        <v>8877882353</v>
      </c>
      <c r="O31" s="39">
        <v>1.99</v>
      </c>
      <c r="P31" s="39">
        <v>15.08</v>
      </c>
      <c r="Q31" s="40">
        <v>305186743</v>
      </c>
      <c r="R31" s="1"/>
    </row>
    <row r="32" spans="1:18" ht="14">
      <c r="A32" s="100" t="s">
        <v>101</v>
      </c>
      <c r="B32" s="95" t="s">
        <v>153</v>
      </c>
      <c r="C32" s="94" t="s">
        <v>67</v>
      </c>
      <c r="D32" s="95" t="s">
        <v>68</v>
      </c>
      <c r="E32" s="38">
        <v>25.21</v>
      </c>
      <c r="F32" s="39">
        <v>25.11</v>
      </c>
      <c r="G32" s="39">
        <v>25.42</v>
      </c>
      <c r="H32" s="39">
        <v>25.04</v>
      </c>
      <c r="I32" s="40">
        <v>5697284</v>
      </c>
      <c r="J32" s="39">
        <v>0.1</v>
      </c>
      <c r="K32" s="41">
        <v>0.4</v>
      </c>
      <c r="L32" s="39">
        <v>34.24</v>
      </c>
      <c r="M32" s="39">
        <v>24.6</v>
      </c>
      <c r="N32" s="40">
        <v>8600521944</v>
      </c>
      <c r="O32" s="39">
        <v>0.92</v>
      </c>
      <c r="P32" s="39">
        <v>27.4</v>
      </c>
      <c r="Q32" s="40">
        <v>342513817</v>
      </c>
      <c r="R32" s="1"/>
    </row>
    <row r="33" spans="1:18" ht="14">
      <c r="A33" s="100" t="s">
        <v>102</v>
      </c>
      <c r="B33" s="95" t="s">
        <v>74</v>
      </c>
      <c r="C33" s="94" t="s">
        <v>67</v>
      </c>
      <c r="D33" s="95" t="s">
        <v>68</v>
      </c>
      <c r="E33" s="38">
        <v>8.7200000000000006</v>
      </c>
      <c r="F33" s="39">
        <v>8.6999999999999993</v>
      </c>
      <c r="G33" s="39">
        <v>8.81</v>
      </c>
      <c r="H33" s="39">
        <v>8.66</v>
      </c>
      <c r="I33" s="40">
        <v>1148732</v>
      </c>
      <c r="J33" s="39">
        <v>0.02</v>
      </c>
      <c r="K33" s="41">
        <v>0.23</v>
      </c>
      <c r="L33" s="39">
        <v>11.65</v>
      </c>
      <c r="M33" s="39">
        <v>6.34</v>
      </c>
      <c r="N33" s="40">
        <v>1172951869</v>
      </c>
      <c r="O33" s="39">
        <v>-2.54</v>
      </c>
      <c r="P33" s="39">
        <v>-3.43</v>
      </c>
      <c r="Q33" s="40">
        <v>134822054</v>
      </c>
      <c r="R33" s="1"/>
    </row>
    <row r="34" spans="1:18" ht="14">
      <c r="A34" s="100" t="s">
        <v>103</v>
      </c>
      <c r="B34" s="95" t="s">
        <v>75</v>
      </c>
      <c r="C34" s="94" t="s">
        <v>67</v>
      </c>
      <c r="D34" s="95" t="s">
        <v>68</v>
      </c>
      <c r="E34" s="38">
        <v>17.25</v>
      </c>
      <c r="F34" s="39">
        <v>16.96</v>
      </c>
      <c r="G34" s="39">
        <v>17.3</v>
      </c>
      <c r="H34" s="39">
        <v>17</v>
      </c>
      <c r="I34" s="40">
        <v>2481910</v>
      </c>
      <c r="J34" s="39">
        <v>0.28999999999999998</v>
      </c>
      <c r="K34" s="41">
        <v>1.71</v>
      </c>
      <c r="L34" s="39">
        <v>19.52</v>
      </c>
      <c r="M34" s="39">
        <v>12.55</v>
      </c>
      <c r="N34" s="40">
        <v>34041939137</v>
      </c>
      <c r="O34" s="39">
        <v>1.41</v>
      </c>
      <c r="P34" s="39">
        <v>16.5</v>
      </c>
      <c r="Q34" s="40">
        <v>1975454900</v>
      </c>
      <c r="R34" s="1"/>
    </row>
    <row r="35" spans="1:18" ht="14">
      <c r="A35" s="100" t="s">
        <v>123</v>
      </c>
      <c r="B35" s="95" t="s">
        <v>154</v>
      </c>
      <c r="C35" s="94" t="s">
        <v>67</v>
      </c>
      <c r="D35" s="95" t="s">
        <v>68</v>
      </c>
      <c r="E35" s="38">
        <v>65.5</v>
      </c>
      <c r="F35" s="39">
        <v>65.040000000000006</v>
      </c>
      <c r="G35" s="39">
        <v>65.75</v>
      </c>
      <c r="H35" s="39">
        <v>65.14</v>
      </c>
      <c r="I35" s="40">
        <v>22299477</v>
      </c>
      <c r="J35" s="39">
        <v>0.46</v>
      </c>
      <c r="K35" s="41">
        <v>0.71</v>
      </c>
      <c r="L35" s="39">
        <v>66.349999999999994</v>
      </c>
      <c r="M35" s="39">
        <v>48.034999999999997</v>
      </c>
      <c r="N35" s="40">
        <v>502598539492</v>
      </c>
      <c r="O35" s="39">
        <v>2.13</v>
      </c>
      <c r="P35" s="39">
        <v>30.77</v>
      </c>
      <c r="Q35" s="40">
        <v>7727529820</v>
      </c>
      <c r="R35" s="1"/>
    </row>
    <row r="36" spans="1:18" ht="14">
      <c r="A36" s="100" t="s">
        <v>104</v>
      </c>
      <c r="B36" s="95" t="s">
        <v>76</v>
      </c>
      <c r="C36" s="94" t="s">
        <v>67</v>
      </c>
      <c r="D36" s="95" t="s">
        <v>68</v>
      </c>
      <c r="E36" s="38">
        <v>11.77</v>
      </c>
      <c r="F36" s="39">
        <v>11.96</v>
      </c>
      <c r="G36" s="39">
        <v>12.05</v>
      </c>
      <c r="H36" s="39">
        <v>11.77</v>
      </c>
      <c r="I36" s="40">
        <v>7768283</v>
      </c>
      <c r="J36" s="39">
        <v>-0.19</v>
      </c>
      <c r="K36" s="41">
        <v>-1.59</v>
      </c>
      <c r="L36" s="39">
        <v>18.399999999999999</v>
      </c>
      <c r="M36" s="39">
        <v>7.61</v>
      </c>
      <c r="N36" s="40">
        <v>3412743063</v>
      </c>
      <c r="O36" s="39">
        <v>-3.64</v>
      </c>
      <c r="P36" s="39">
        <v>-3.29</v>
      </c>
      <c r="Q36" s="40">
        <v>285346410</v>
      </c>
      <c r="R36" s="1"/>
    </row>
    <row r="37" spans="1:18" ht="14">
      <c r="A37" s="100" t="s">
        <v>105</v>
      </c>
      <c r="B37" s="95" t="s">
        <v>77</v>
      </c>
      <c r="C37" s="94" t="s">
        <v>67</v>
      </c>
      <c r="D37" s="95" t="s">
        <v>68</v>
      </c>
      <c r="E37" s="96">
        <v>35.89</v>
      </c>
      <c r="F37" s="97">
        <v>36.299999999999997</v>
      </c>
      <c r="G37" s="97">
        <v>37.1</v>
      </c>
      <c r="H37" s="97">
        <v>35.89</v>
      </c>
      <c r="I37" s="98">
        <v>596468</v>
      </c>
      <c r="J37" s="97">
        <v>-0.41</v>
      </c>
      <c r="K37" s="99">
        <v>-1.1299999999999999</v>
      </c>
      <c r="L37" s="97">
        <v>37.1</v>
      </c>
      <c r="M37" s="97">
        <v>18.02</v>
      </c>
      <c r="N37" s="98">
        <v>4504830000</v>
      </c>
      <c r="O37" s="97">
        <v>1.49</v>
      </c>
      <c r="P37" s="97">
        <v>22.42</v>
      </c>
      <c r="Q37" s="98">
        <v>124100000</v>
      </c>
      <c r="R37" s="1"/>
    </row>
    <row r="38" spans="1:18" ht="14">
      <c r="A38" s="103" t="s">
        <v>106</v>
      </c>
      <c r="B38" s="95" t="s">
        <v>155</v>
      </c>
      <c r="C38" s="94" t="s">
        <v>67</v>
      </c>
      <c r="D38" s="95" t="s">
        <v>68</v>
      </c>
      <c r="E38" s="38">
        <v>5.31</v>
      </c>
      <c r="F38" s="39">
        <v>5.23</v>
      </c>
      <c r="G38" s="39">
        <v>5.38</v>
      </c>
      <c r="H38" s="39">
        <v>5.2</v>
      </c>
      <c r="I38" s="40">
        <v>8275193</v>
      </c>
      <c r="J38" s="39">
        <v>0.08</v>
      </c>
      <c r="K38" s="41">
        <v>1.53</v>
      </c>
      <c r="L38" s="39">
        <v>12.185</v>
      </c>
      <c r="M38" s="39">
        <v>4.45</v>
      </c>
      <c r="N38" s="40">
        <v>1279686860</v>
      </c>
      <c r="O38" s="39">
        <v>-3.82</v>
      </c>
      <c r="P38" s="39">
        <v>-1.39</v>
      </c>
      <c r="Q38" s="40">
        <v>244682000</v>
      </c>
      <c r="R38" s="1"/>
    </row>
    <row r="39" spans="1:18" ht="14">
      <c r="A39" s="103" t="s">
        <v>107</v>
      </c>
      <c r="B39" s="95" t="s">
        <v>78</v>
      </c>
      <c r="C39" s="94" t="s">
        <v>67</v>
      </c>
      <c r="D39" s="95" t="s">
        <v>68</v>
      </c>
      <c r="E39" s="38">
        <v>39.409999999999997</v>
      </c>
      <c r="F39" s="39">
        <v>38.869999999999997</v>
      </c>
      <c r="G39" s="39">
        <v>39.520000000000003</v>
      </c>
      <c r="H39" s="39">
        <v>38.85</v>
      </c>
      <c r="I39" s="40">
        <v>2996476</v>
      </c>
      <c r="J39" s="39">
        <v>0.54</v>
      </c>
      <c r="K39" s="41">
        <v>1.39</v>
      </c>
      <c r="L39" s="39">
        <v>40.74</v>
      </c>
      <c r="M39" s="39">
        <v>30.54</v>
      </c>
      <c r="N39" s="40">
        <v>22579661595</v>
      </c>
      <c r="O39" s="39">
        <v>1.76</v>
      </c>
      <c r="P39" s="39">
        <v>22.37</v>
      </c>
      <c r="Q39" s="40">
        <v>580902022</v>
      </c>
      <c r="R39" s="1"/>
    </row>
    <row r="40" spans="1:18" ht="14">
      <c r="A40" s="103" t="s">
        <v>108</v>
      </c>
      <c r="B40" s="95" t="s">
        <v>156</v>
      </c>
      <c r="C40" s="94" t="s">
        <v>67</v>
      </c>
      <c r="D40" s="95" t="s">
        <v>68</v>
      </c>
      <c r="E40" s="38">
        <v>78.17</v>
      </c>
      <c r="F40" s="39">
        <v>76.900000000000006</v>
      </c>
      <c r="G40" s="39">
        <v>78.33</v>
      </c>
      <c r="H40" s="39">
        <v>77.16</v>
      </c>
      <c r="I40" s="40">
        <v>3154177</v>
      </c>
      <c r="J40" s="39">
        <v>1.27</v>
      </c>
      <c r="K40" s="41">
        <v>1.65</v>
      </c>
      <c r="L40" s="39">
        <v>83.64</v>
      </c>
      <c r="M40" s="39">
        <v>71.5</v>
      </c>
      <c r="N40" s="40">
        <v>49645861156</v>
      </c>
      <c r="O40" s="39">
        <v>3.46</v>
      </c>
      <c r="P40" s="39">
        <v>22.57</v>
      </c>
      <c r="Q40" s="40">
        <v>645589872</v>
      </c>
      <c r="R40" s="1"/>
    </row>
    <row r="41" spans="1:18" ht="14">
      <c r="A41" s="103" t="s">
        <v>109</v>
      </c>
      <c r="B41" s="95" t="s">
        <v>157</v>
      </c>
      <c r="C41" s="94" t="s">
        <v>67</v>
      </c>
      <c r="D41" s="95" t="s">
        <v>68</v>
      </c>
      <c r="E41" s="38">
        <v>74.8</v>
      </c>
      <c r="F41" s="39">
        <v>74.069999999999993</v>
      </c>
      <c r="G41" s="39">
        <v>75.11</v>
      </c>
      <c r="H41" s="39">
        <v>74.11</v>
      </c>
      <c r="I41" s="40">
        <v>7681252</v>
      </c>
      <c r="J41" s="39">
        <v>0.73</v>
      </c>
      <c r="K41" s="41">
        <v>0.99</v>
      </c>
      <c r="L41" s="39">
        <v>75.19</v>
      </c>
      <c r="M41" s="39">
        <v>62.72</v>
      </c>
      <c r="N41" s="40">
        <v>224654982481</v>
      </c>
      <c r="O41" s="39">
        <v>4.38</v>
      </c>
      <c r="P41" s="39">
        <v>17.059999999999999</v>
      </c>
      <c r="Q41" s="40">
        <v>3033009079</v>
      </c>
      <c r="R41" s="1"/>
    </row>
    <row r="42" spans="1:18" ht="14">
      <c r="A42" s="103" t="s">
        <v>110</v>
      </c>
      <c r="B42" s="95" t="s">
        <v>79</v>
      </c>
      <c r="C42" s="94" t="s">
        <v>67</v>
      </c>
      <c r="D42" s="95" t="s">
        <v>68</v>
      </c>
      <c r="E42" s="38">
        <v>30.51</v>
      </c>
      <c r="F42" s="39">
        <v>28.42</v>
      </c>
      <c r="G42" s="39">
        <v>31.06</v>
      </c>
      <c r="H42" s="39">
        <v>28.88</v>
      </c>
      <c r="I42" s="40">
        <v>37059746</v>
      </c>
      <c r="J42" s="39">
        <v>2.09</v>
      </c>
      <c r="K42" s="41">
        <v>7.35</v>
      </c>
      <c r="L42" s="39">
        <v>41.83</v>
      </c>
      <c r="M42" s="39">
        <v>12.77</v>
      </c>
      <c r="N42" s="40">
        <v>4953343427</v>
      </c>
      <c r="O42" s="39">
        <v>-2.81</v>
      </c>
      <c r="P42" s="39">
        <v>-10.86</v>
      </c>
      <c r="Q42" s="40">
        <v>174290761</v>
      </c>
      <c r="R42" s="1"/>
    </row>
    <row r="43" spans="1:18" ht="14">
      <c r="A43" s="103" t="s">
        <v>50</v>
      </c>
      <c r="B43" s="95" t="s">
        <v>158</v>
      </c>
      <c r="C43" s="94" t="s">
        <v>67</v>
      </c>
      <c r="D43" s="95" t="s">
        <v>68</v>
      </c>
      <c r="E43" s="38">
        <v>2.74</v>
      </c>
      <c r="F43" s="39">
        <v>2.76</v>
      </c>
      <c r="G43" s="39">
        <v>2.8</v>
      </c>
      <c r="H43" s="39">
        <v>2.66</v>
      </c>
      <c r="I43" s="40">
        <v>56838</v>
      </c>
      <c r="J43" s="39">
        <v>-0.02</v>
      </c>
      <c r="K43" s="41">
        <v>-0.72</v>
      </c>
      <c r="L43" s="39">
        <v>5.3</v>
      </c>
      <c r="M43" s="39">
        <v>1.85</v>
      </c>
      <c r="N43" s="40">
        <v>50166800</v>
      </c>
      <c r="O43" s="39">
        <v>-89.3</v>
      </c>
      <c r="P43" s="39">
        <v>-0.21</v>
      </c>
      <c r="Q43" s="40">
        <v>18176377</v>
      </c>
      <c r="R43" s="1"/>
    </row>
    <row r="44" spans="1:18" ht="14">
      <c r="A44" s="103" t="s">
        <v>124</v>
      </c>
      <c r="B44" s="95" t="s">
        <v>125</v>
      </c>
      <c r="C44" s="94" t="s">
        <v>67</v>
      </c>
      <c r="D44" s="95" t="s">
        <v>68</v>
      </c>
      <c r="E44" s="38">
        <v>47.67</v>
      </c>
      <c r="F44" s="39">
        <v>47</v>
      </c>
      <c r="G44" s="39">
        <v>47.84</v>
      </c>
      <c r="H44" s="39">
        <v>47.07</v>
      </c>
      <c r="I44" s="40">
        <v>10925101</v>
      </c>
      <c r="J44" s="39">
        <v>0.67</v>
      </c>
      <c r="K44" s="41">
        <v>1.43</v>
      </c>
      <c r="L44" s="39">
        <v>47.88</v>
      </c>
      <c r="M44" s="39">
        <v>35.049999999999997</v>
      </c>
      <c r="N44" s="40">
        <v>44954899199</v>
      </c>
      <c r="O44" s="39">
        <v>-0.23</v>
      </c>
      <c r="P44" s="39">
        <v>-208.33</v>
      </c>
      <c r="Q44" s="40">
        <v>956487217</v>
      </c>
      <c r="R44" s="1"/>
    </row>
    <row r="45" spans="1:18" ht="14">
      <c r="A45" s="104" t="s">
        <v>51</v>
      </c>
      <c r="B45" s="105" t="s">
        <v>159</v>
      </c>
      <c r="C45" s="106" t="s">
        <v>67</v>
      </c>
      <c r="D45" s="107" t="s">
        <v>68</v>
      </c>
      <c r="E45" s="38">
        <v>170.15</v>
      </c>
      <c r="F45" s="39">
        <v>170.06</v>
      </c>
      <c r="G45" s="39">
        <v>171.18</v>
      </c>
      <c r="H45" s="39">
        <v>169.95</v>
      </c>
      <c r="I45" s="40">
        <v>1933622</v>
      </c>
      <c r="J45" s="39">
        <v>0.09</v>
      </c>
      <c r="K45" s="41">
        <v>0.05</v>
      </c>
      <c r="L45" s="39">
        <v>178.71</v>
      </c>
      <c r="M45" s="39">
        <v>138.57</v>
      </c>
      <c r="N45" s="40">
        <v>74646343192</v>
      </c>
      <c r="O45" s="39">
        <v>5.42</v>
      </c>
      <c r="P45" s="39">
        <v>31.35</v>
      </c>
      <c r="Q45" s="40">
        <v>438941216</v>
      </c>
      <c r="R45" s="1"/>
    </row>
    <row r="46" spans="1:18" ht="14">
      <c r="A46" s="104" t="s">
        <v>45</v>
      </c>
      <c r="B46" s="105" t="s">
        <v>81</v>
      </c>
      <c r="C46" s="106" t="s">
        <v>67</v>
      </c>
      <c r="D46" s="107" t="s">
        <v>68</v>
      </c>
      <c r="E46" s="130">
        <v>16.5</v>
      </c>
      <c r="F46" s="131">
        <v>16.2</v>
      </c>
      <c r="G46" s="131">
        <v>16.559999999999999</v>
      </c>
      <c r="H46" s="131">
        <v>16.079999999999998</v>
      </c>
      <c r="I46" s="132">
        <v>1446781</v>
      </c>
      <c r="J46" s="131">
        <v>0.3</v>
      </c>
      <c r="K46" s="133">
        <v>1.85</v>
      </c>
      <c r="L46" s="131">
        <v>26.72</v>
      </c>
      <c r="M46" s="131">
        <v>14.175000000000001</v>
      </c>
      <c r="N46" s="132">
        <v>2222148540</v>
      </c>
      <c r="O46" s="131">
        <v>-5.35</v>
      </c>
      <c r="P46" s="131">
        <v>-3.03</v>
      </c>
      <c r="Q46" s="132">
        <v>137169663</v>
      </c>
      <c r="R46" s="1"/>
    </row>
    <row r="47" spans="1:18" ht="14">
      <c r="A47" s="104" t="s">
        <v>163</v>
      </c>
      <c r="B47" s="105" t="s">
        <v>160</v>
      </c>
      <c r="C47" s="106" t="s">
        <v>67</v>
      </c>
      <c r="D47" s="107" t="s">
        <v>68</v>
      </c>
      <c r="E47" s="38">
        <v>32.53</v>
      </c>
      <c r="F47" s="39">
        <v>33.86</v>
      </c>
      <c r="G47" s="39">
        <v>33.04</v>
      </c>
      <c r="H47" s="39">
        <v>32.32</v>
      </c>
      <c r="I47" s="40">
        <v>28093762</v>
      </c>
      <c r="J47" s="39">
        <v>-1.33</v>
      </c>
      <c r="K47" s="41">
        <v>-3.91</v>
      </c>
      <c r="L47" s="39">
        <v>34.734999999999999</v>
      </c>
      <c r="M47" s="39">
        <v>22.3</v>
      </c>
      <c r="N47" s="40">
        <v>36539177458</v>
      </c>
      <c r="O47" s="39">
        <v>6.88</v>
      </c>
      <c r="P47" s="39">
        <v>5.1100000000000003</v>
      </c>
      <c r="Q47" s="40">
        <v>1079284521</v>
      </c>
      <c r="R47" s="1"/>
    </row>
    <row r="48" spans="1:18" ht="14">
      <c r="A48" s="104" t="s">
        <v>133</v>
      </c>
      <c r="B48" s="105" t="s">
        <v>161</v>
      </c>
      <c r="C48" s="106" t="s">
        <v>67</v>
      </c>
      <c r="D48" s="107" t="s">
        <v>68</v>
      </c>
      <c r="E48" s="38">
        <v>52.66</v>
      </c>
      <c r="F48" s="39">
        <v>52.61</v>
      </c>
      <c r="G48" s="39">
        <v>53.4</v>
      </c>
      <c r="H48" s="39">
        <v>51.4</v>
      </c>
      <c r="I48" s="40">
        <v>24664581</v>
      </c>
      <c r="J48" s="39">
        <v>0.05</v>
      </c>
      <c r="K48" s="41">
        <v>0.1</v>
      </c>
      <c r="L48" s="39">
        <v>71.62</v>
      </c>
      <c r="M48" s="39">
        <v>50.11</v>
      </c>
      <c r="N48" s="40">
        <v>77727935159</v>
      </c>
      <c r="O48" s="39">
        <v>3</v>
      </c>
      <c r="P48" s="39">
        <v>17.54</v>
      </c>
      <c r="Q48" s="40">
        <v>1477436517</v>
      </c>
      <c r="R48" s="1"/>
    </row>
    <row r="49" spans="1:18" ht="14">
      <c r="A49" s="104" t="s">
        <v>134</v>
      </c>
      <c r="B49" s="105" t="s">
        <v>132</v>
      </c>
      <c r="C49" s="106" t="s">
        <v>67</v>
      </c>
      <c r="D49" s="107" t="s">
        <v>68</v>
      </c>
      <c r="E49" s="38">
        <v>54.64</v>
      </c>
      <c r="F49" s="39">
        <v>53.89</v>
      </c>
      <c r="G49" s="39">
        <v>54.88</v>
      </c>
      <c r="H49" s="39">
        <v>54.11</v>
      </c>
      <c r="I49" s="40">
        <v>5843105</v>
      </c>
      <c r="J49" s="39">
        <v>0.75</v>
      </c>
      <c r="K49" s="41">
        <v>1.39</v>
      </c>
      <c r="L49" s="39">
        <v>83.96</v>
      </c>
      <c r="M49" s="39">
        <v>52.72</v>
      </c>
      <c r="N49" s="40">
        <v>29783674126</v>
      </c>
      <c r="O49" s="39">
        <v>4.7</v>
      </c>
      <c r="P49" s="39">
        <v>11.93</v>
      </c>
      <c r="Q49" s="40">
        <v>552675341</v>
      </c>
      <c r="R49" s="1"/>
    </row>
    <row r="50" spans="1:18" ht="15" thickBot="1">
      <c r="A50" s="108" t="s">
        <v>164</v>
      </c>
      <c r="B50" s="105" t="s">
        <v>162</v>
      </c>
      <c r="C50" s="106" t="s">
        <v>67</v>
      </c>
      <c r="D50" s="107" t="s">
        <v>68</v>
      </c>
      <c r="E50" s="38">
        <v>35.5</v>
      </c>
      <c r="F50" s="39">
        <v>34.909999999999997</v>
      </c>
      <c r="G50" s="39">
        <v>35.93</v>
      </c>
      <c r="H50" s="39">
        <v>35.01</v>
      </c>
      <c r="I50" s="40">
        <v>5834912</v>
      </c>
      <c r="J50" s="39">
        <v>0.59</v>
      </c>
      <c r="K50" s="41">
        <v>1.69</v>
      </c>
      <c r="L50" s="39">
        <v>35.924999999999997</v>
      </c>
      <c r="M50" s="39">
        <v>27.67</v>
      </c>
      <c r="N50" s="40">
        <v>11121087916</v>
      </c>
      <c r="O50" s="39">
        <v>1.38</v>
      </c>
      <c r="P50" s="39">
        <v>25.71</v>
      </c>
      <c r="Q50" s="40">
        <v>318564535</v>
      </c>
      <c r="R50" s="1"/>
    </row>
    <row r="51" spans="1:18" ht="12.75" customHeight="1">
      <c r="A51" s="1"/>
      <c r="B51" s="109" t="s">
        <v>82</v>
      </c>
      <c r="C51" s="110"/>
      <c r="D51" s="281" t="s">
        <v>83</v>
      </c>
      <c r="E51" s="282"/>
      <c r="F51" s="283"/>
      <c r="G51" s="110"/>
      <c r="H51" s="281" t="s">
        <v>84</v>
      </c>
      <c r="I51" s="282"/>
      <c r="J51" s="283"/>
      <c r="K51" s="110"/>
      <c r="L51" s="110"/>
      <c r="M51" s="110"/>
      <c r="N51" s="110"/>
      <c r="O51" s="110"/>
      <c r="P51" s="110"/>
      <c r="Q51" s="110"/>
      <c r="R51" s="1"/>
    </row>
    <row r="52" spans="1:18" ht="29" thickBot="1">
      <c r="A52" s="1"/>
      <c r="B52" s="111" t="s">
        <v>85</v>
      </c>
      <c r="C52" s="112"/>
      <c r="D52" s="284" t="s">
        <v>86</v>
      </c>
      <c r="E52" s="285"/>
      <c r="F52" s="286"/>
      <c r="G52" s="113"/>
      <c r="H52" s="284" t="s">
        <v>87</v>
      </c>
      <c r="I52" s="285"/>
      <c r="J52" s="286"/>
      <c r="K52" s="110"/>
      <c r="L52" s="110"/>
      <c r="M52" s="110"/>
      <c r="N52" s="110"/>
      <c r="O52" s="110"/>
      <c r="P52" s="110"/>
      <c r="Q52" s="110"/>
      <c r="R52" s="1" t="s">
        <v>43</v>
      </c>
    </row>
    <row r="53" spans="1:18">
      <c r="B53" s="42"/>
      <c r="C53" s="42"/>
      <c r="D53" s="42"/>
      <c r="E53" s="42"/>
      <c r="F53" s="42"/>
      <c r="G53" s="42"/>
      <c r="H53" s="42"/>
      <c r="I53" s="42"/>
      <c r="J53" s="42"/>
      <c r="K53" s="42"/>
      <c r="L53" s="42"/>
      <c r="M53" s="42"/>
      <c r="N53" s="42"/>
      <c r="O53" s="42"/>
      <c r="P53" s="42"/>
      <c r="Q53" s="42"/>
    </row>
    <row r="54" spans="1:18" ht="12.75" customHeight="1">
      <c r="A54" s="23"/>
      <c r="B54" s="273"/>
      <c r="C54" s="273"/>
      <c r="D54" s="273"/>
      <c r="E54" s="273"/>
      <c r="F54" s="273"/>
      <c r="G54" s="273"/>
      <c r="H54" s="273"/>
      <c r="I54" s="273"/>
      <c r="J54" s="273"/>
      <c r="K54" s="273"/>
      <c r="L54" s="273"/>
      <c r="M54" s="273"/>
      <c r="N54" s="273"/>
      <c r="O54" s="273"/>
      <c r="P54" s="273"/>
      <c r="Q54" s="273"/>
    </row>
    <row r="55" spans="1:18" ht="12.75" customHeight="1">
      <c r="A55" s="23"/>
      <c r="B55" s="274"/>
      <c r="C55" s="274"/>
      <c r="D55" s="274"/>
      <c r="E55" s="274"/>
      <c r="F55" s="274"/>
      <c r="G55" s="274"/>
      <c r="H55" s="274"/>
      <c r="I55" s="274"/>
      <c r="J55" s="274"/>
      <c r="K55" s="274"/>
      <c r="L55" s="274"/>
      <c r="M55" s="274"/>
      <c r="N55" s="274"/>
      <c r="O55" s="274"/>
      <c r="P55" s="274"/>
      <c r="Q55" s="274"/>
    </row>
    <row r="56" spans="1:18">
      <c r="B56" s="275"/>
      <c r="C56" s="275"/>
      <c r="D56" s="275"/>
      <c r="E56" s="275"/>
      <c r="F56" s="275"/>
      <c r="G56" s="275"/>
      <c r="H56" s="275"/>
      <c r="I56" s="275"/>
      <c r="J56" s="275"/>
      <c r="K56" s="275"/>
      <c r="L56" s="275"/>
      <c r="M56" s="275"/>
      <c r="N56" s="275"/>
      <c r="O56" s="275"/>
      <c r="P56" s="275"/>
      <c r="Q56" s="275"/>
    </row>
    <row r="57" spans="1:18" ht="12.75" customHeight="1">
      <c r="B57" s="276" t="s">
        <v>130</v>
      </c>
      <c r="C57" s="276"/>
      <c r="D57" s="276"/>
      <c r="E57" s="276"/>
      <c r="F57" s="276"/>
      <c r="G57" s="276"/>
      <c r="H57" s="276"/>
      <c r="I57" s="276"/>
      <c r="J57" s="276"/>
      <c r="K57" s="276"/>
      <c r="L57" s="276"/>
      <c r="M57" s="276"/>
      <c r="N57" s="276"/>
      <c r="O57" s="276"/>
      <c r="P57" s="276"/>
      <c r="Q57" s="276"/>
    </row>
    <row r="58" spans="1:18">
      <c r="B58" s="275"/>
      <c r="C58" s="275"/>
      <c r="D58" s="275"/>
      <c r="E58" s="275"/>
      <c r="F58" s="275"/>
      <c r="G58" s="275"/>
      <c r="H58" s="275"/>
      <c r="I58" s="275"/>
      <c r="J58" s="275"/>
      <c r="K58" s="275"/>
      <c r="L58" s="275"/>
      <c r="M58" s="275"/>
      <c r="N58" s="275"/>
      <c r="O58" s="275"/>
      <c r="P58" s="275"/>
      <c r="Q58" s="275"/>
    </row>
    <row r="59" spans="1:18" ht="38.25" customHeight="1">
      <c r="B59" s="276" t="s">
        <v>131</v>
      </c>
      <c r="C59" s="276"/>
      <c r="D59" s="276"/>
      <c r="E59" s="276"/>
      <c r="F59" s="276"/>
      <c r="G59" s="276"/>
      <c r="H59" s="276"/>
      <c r="I59" s="276"/>
      <c r="J59" s="276"/>
      <c r="K59" s="276"/>
      <c r="L59" s="276"/>
      <c r="M59" s="276"/>
      <c r="N59" s="276"/>
      <c r="O59" s="276"/>
      <c r="P59" s="276"/>
      <c r="Q59" s="276"/>
    </row>
    <row r="62" spans="1:18" ht="28">
      <c r="B62" s="321" t="s">
        <v>453</v>
      </c>
    </row>
  </sheetData>
  <mergeCells count="14">
    <mergeCell ref="B57:Q57"/>
    <mergeCell ref="B58:Q58"/>
    <mergeCell ref="B59:Q59"/>
    <mergeCell ref="B11:Q11"/>
    <mergeCell ref="B12:Q12"/>
    <mergeCell ref="D51:F51"/>
    <mergeCell ref="H51:J51"/>
    <mergeCell ref="D52:F52"/>
    <mergeCell ref="H52:J52"/>
    <mergeCell ref="B4:D4"/>
    <mergeCell ref="A1:D2"/>
    <mergeCell ref="B54:Q54"/>
    <mergeCell ref="B55:Q55"/>
    <mergeCell ref="B56:Q56"/>
  </mergeCells>
  <hyperlinks>
    <hyperlink ref="B12" r:id="rId1" display="http://money.msn.com/" xr:uid="{00000000-0004-0000-0100-000000000000}"/>
    <hyperlink ref="H51" r:id="rId2" display="http://office.microsoft.com/" xr:uid="{00000000-0004-0000-0100-000001000000}"/>
    <hyperlink ref="D51" r:id="rId3" display="http://money.msn.com/" xr:uid="{00000000-0004-0000-0100-000002000000}"/>
    <hyperlink ref="B51" r:id="rId4" display="http://investing.money.msn.com/investments/find-symbol" xr:uid="{00000000-0004-0000-0100-000003000000}"/>
    <hyperlink ref="B16" r:id="rId5" display="http://www.msn.com/en-us/money/stockdetails/126.1.COL.NYS" xr:uid="{00000000-0004-0000-0100-000004000000}"/>
    <hyperlink ref="C16" r:id="rId6" display="http://www.msn.com/en-us/money/stockdetails/charts/fi-126.1.COL.NYS" xr:uid="{00000000-0004-0000-0100-000005000000}"/>
    <hyperlink ref="D16" r:id="rId7" display="http://www.msn.com/en-us/money/stockdetails/126.1.COL.NYS" xr:uid="{00000000-0004-0000-0100-000006000000}"/>
    <hyperlink ref="B17" r:id="rId8" display="http://www.msn.com/en-us/money/stockdetails/126.1.CPB.NYS" xr:uid="{00000000-0004-0000-0100-000007000000}"/>
    <hyperlink ref="C17" r:id="rId9" display="http://www.msn.com/en-us/money/stockdetails/charts/fi-126.1.CPB.NYS" xr:uid="{00000000-0004-0000-0100-000008000000}"/>
    <hyperlink ref="D17" r:id="rId10" display="http://www.msn.com/en-us/money/stockdetails/126.1.CPB.NYS" xr:uid="{00000000-0004-0000-0100-000009000000}"/>
    <hyperlink ref="B18" r:id="rId11" display="http://www.msn.com/en-us/money/stockdetails/126.1.CAG.NYS" xr:uid="{00000000-0004-0000-0100-00000A000000}"/>
    <hyperlink ref="C18" r:id="rId12" display="http://www.msn.com/en-us/money/stockdetails/charts/fi-126.1.CAG.NYS" xr:uid="{00000000-0004-0000-0100-00000B000000}"/>
    <hyperlink ref="D18" r:id="rId13" display="http://www.msn.com/en-us/money/stockdetails/126.1.CAG.NYS" xr:uid="{00000000-0004-0000-0100-00000C000000}"/>
    <hyperlink ref="B19" r:id="rId14" display="http://www.msn.com/en-us/money/stockdetails/126.1.DVN.NYS" xr:uid="{00000000-0004-0000-0100-00000D000000}"/>
    <hyperlink ref="C19" r:id="rId15" display="http://www.msn.com/en-us/money/stockdetails/charts/fi-126.1.DVN.NYS" xr:uid="{00000000-0004-0000-0100-00000E000000}"/>
    <hyperlink ref="D19" r:id="rId16" display="http://www.msn.com/en-us/money/stockdetails/126.1.DVN.NYS" xr:uid="{00000000-0004-0000-0100-00000F000000}"/>
    <hyperlink ref="B20" r:id="rId17" display="http://www.msn.com/en-us/money/stockdetails/126.1.GIS.NYS" xr:uid="{00000000-0004-0000-0100-000010000000}"/>
    <hyperlink ref="C20" r:id="rId18" display="http://www.msn.com/en-us/money/stockdetails/charts/fi-126.1.GIS.NYS" xr:uid="{00000000-0004-0000-0100-000011000000}"/>
    <hyperlink ref="D20" r:id="rId19" display="http://www.msn.com/en-us/money/stockdetails/126.1.GIS.NYS" xr:uid="{00000000-0004-0000-0100-000012000000}"/>
    <hyperlink ref="B22" r:id="rId20" display="http://www.msn.com/en-us/money/stockdetails/126.1.HAS.NAS" xr:uid="{00000000-0004-0000-0100-000013000000}"/>
    <hyperlink ref="C22" r:id="rId21" display="http://www.msn.com/en-us/money/stockdetails/charts/fi-126.1.HAS.NAS" xr:uid="{00000000-0004-0000-0100-000014000000}"/>
    <hyperlink ref="D22" r:id="rId22" display="http://www.msn.com/en-us/money/stockdetails/126.1.HAS.NAS" xr:uid="{00000000-0004-0000-0100-000015000000}"/>
    <hyperlink ref="B23" r:id="rId23" display="http://www.msn.com/en-us/money/stockdetails/126.1.HPQ.NYS" xr:uid="{00000000-0004-0000-0100-000016000000}"/>
    <hyperlink ref="C23" r:id="rId24" display="http://www.msn.com/en-us/money/stockdetails/charts/fi-126.1.HPQ.NYS" xr:uid="{00000000-0004-0000-0100-000017000000}"/>
    <hyperlink ref="D23" r:id="rId25" display="http://www.msn.com/en-us/money/stockdetails/126.1.HPQ.NYS" xr:uid="{00000000-0004-0000-0100-000018000000}"/>
    <hyperlink ref="B24" r:id="rId26" display="http://www.msn.com/en-us/money/stockdetails/126.1.HSY.NYS" xr:uid="{00000000-0004-0000-0100-000019000000}"/>
    <hyperlink ref="C24" r:id="rId27" display="http://www.msn.com/en-us/money/stockdetails/charts/fi-126.1.HSY.NYS" xr:uid="{00000000-0004-0000-0100-00001A000000}"/>
    <hyperlink ref="D24" r:id="rId28" display="http://www.msn.com/en-us/money/stockdetails/126.1.HSY.NYS" xr:uid="{00000000-0004-0000-0100-00001B000000}"/>
    <hyperlink ref="B25" r:id="rId29" display="http://www.msn.com/en-us/money/stockdetails/126.1.IBM.NYS" xr:uid="{00000000-0004-0000-0100-00001C000000}"/>
    <hyperlink ref="C25" r:id="rId30" display="http://www.msn.com/en-us/money/stockdetails/charts/fi-126.1.IBM.NYS" xr:uid="{00000000-0004-0000-0100-00001D000000}"/>
    <hyperlink ref="D25" r:id="rId31" display="http://www.msn.com/en-us/money/stockdetails/126.1.IBM.NYS" xr:uid="{00000000-0004-0000-0100-00001E000000}"/>
    <hyperlink ref="B26" r:id="rId32" display="http://www.msn.com/en-us/money/stockdetails/126.1.ITT.NYS" xr:uid="{00000000-0004-0000-0100-00001F000000}"/>
    <hyperlink ref="C26" r:id="rId33" display="http://www.msn.com/en-us/money/stockdetails/charts/fi-126.1.ITT.NYS" xr:uid="{00000000-0004-0000-0100-000020000000}"/>
    <hyperlink ref="D26" r:id="rId34" display="http://www.msn.com/en-us/money/stockdetails/126.1.ITT.NYS" xr:uid="{00000000-0004-0000-0100-000021000000}"/>
    <hyperlink ref="B27" r:id="rId35" display="http://www.msn.com/en-us/money/stockdetails/126.1.JCI.NYS" xr:uid="{00000000-0004-0000-0100-000022000000}"/>
    <hyperlink ref="C27" r:id="rId36" display="http://www.msn.com/en-us/money/stockdetails/charts/fi-126.1.JCI.NYS" xr:uid="{00000000-0004-0000-0100-000023000000}"/>
    <hyperlink ref="D27" r:id="rId37" display="http://www.msn.com/en-us/money/stockdetails/126.1.JCI.NYS" xr:uid="{00000000-0004-0000-0100-000024000000}"/>
    <hyperlink ref="B28" r:id="rId38" display="http://www.msn.com/en-us/money/stockdetails/126.1.JNJ.NYS" xr:uid="{00000000-0004-0000-0100-000025000000}"/>
    <hyperlink ref="C28" r:id="rId39" display="http://www.msn.com/en-us/money/stockdetails/charts/fi-126.1.JNJ.NYS" xr:uid="{00000000-0004-0000-0100-000026000000}"/>
    <hyperlink ref="D28" r:id="rId40" display="http://www.msn.com/en-us/money/stockdetails/126.1.JNJ.NYS" xr:uid="{00000000-0004-0000-0100-000027000000}"/>
    <hyperlink ref="B29" r:id="rId41" display="http://www.msn.com/en-us/money/stockdetails/126.1.KSS.NYS" xr:uid="{00000000-0004-0000-0100-000028000000}"/>
    <hyperlink ref="C29" r:id="rId42" display="http://www.msn.com/en-us/money/stockdetails/charts/fi-126.1.KSS.NYS" xr:uid="{00000000-0004-0000-0100-000029000000}"/>
    <hyperlink ref="D29" r:id="rId43" display="http://www.msn.com/en-us/money/stockdetails/126.1.KSS.NYS" xr:uid="{00000000-0004-0000-0100-00002A000000}"/>
    <hyperlink ref="B30" r:id="rId44" display="http://www.msn.com/en-us/money/stockdetails/126.1.LLY.NYS" xr:uid="{00000000-0004-0000-0100-00002B000000}"/>
    <hyperlink ref="C30" r:id="rId45" display="http://www.msn.com/en-us/money/stockdetails/charts/fi-126.1.LLY.NYS" xr:uid="{00000000-0004-0000-0100-00002C000000}"/>
    <hyperlink ref="D30" r:id="rId46" display="http://www.msn.com/en-us/money/stockdetails/126.1.LLY.NYS" xr:uid="{00000000-0004-0000-0100-00002D000000}"/>
    <hyperlink ref="B32" r:id="rId47" display="http://www.msn.com/en-us/money/stockdetails/126.1.MAT.NAS" xr:uid="{00000000-0004-0000-0100-00002E000000}"/>
    <hyperlink ref="C32" r:id="rId48" display="http://www.msn.com/en-us/money/stockdetails/charts/fi-126.1.MAT.NAS" xr:uid="{00000000-0004-0000-0100-00002F000000}"/>
    <hyperlink ref="D32" r:id="rId49" display="http://www.msn.com/en-us/money/stockdetails/126.1.MAT.NAS" xr:uid="{00000000-0004-0000-0100-000030000000}"/>
    <hyperlink ref="B33" r:id="rId50" display="http://www.msn.com/en-us/money/stockdetails/126.1.MBI.NYS" xr:uid="{00000000-0004-0000-0100-000031000000}"/>
    <hyperlink ref="C33" r:id="rId51" display="http://www.msn.com/en-us/money/stockdetails/charts/fi-126.1.MBI.NYS" xr:uid="{00000000-0004-0000-0100-000032000000}"/>
    <hyperlink ref="D33" r:id="rId52" display="http://www.msn.com/en-us/money/stockdetails/126.1.MBI.NYS" xr:uid="{00000000-0004-0000-0100-000033000000}"/>
    <hyperlink ref="B34" r:id="rId53" display="http://www.msn.com/en-us/money/stockdetails/126.1.MFC.NYS" xr:uid="{00000000-0004-0000-0100-000034000000}"/>
    <hyperlink ref="C34" r:id="rId54" display="http://www.msn.com/en-us/money/stockdetails/charts/fi-126.1.MFC.NYS" xr:uid="{00000000-0004-0000-0100-000035000000}"/>
    <hyperlink ref="D34" r:id="rId55" display="http://www.msn.com/en-us/money/stockdetails/126.1.MFC.NYS" xr:uid="{00000000-0004-0000-0100-000036000000}"/>
    <hyperlink ref="B36" r:id="rId56" display="http://www.msn.com/en-us/money/stockdetails/126.1.NBR.NYS" xr:uid="{00000000-0004-0000-0100-000037000000}"/>
    <hyperlink ref="C36" r:id="rId57" display="http://www.msn.com/en-us/money/stockdetails/charts/fi-126.1.NBR.NYS" xr:uid="{00000000-0004-0000-0100-000038000000}"/>
    <hyperlink ref="D36" r:id="rId58" display="http://www.msn.com/en-us/money/stockdetails/126.1.NBR.NYS" xr:uid="{00000000-0004-0000-0100-000039000000}"/>
    <hyperlink ref="B38" r:id="rId59" display="http://www.msn.com/en-us/money/stockdetails/126.1.NE.NYS" xr:uid="{00000000-0004-0000-0100-00003A000000}"/>
    <hyperlink ref="C38" r:id="rId60" display="http://www.msn.com/en-us/money/stockdetails/charts/fi-126.1.NE.NYS" xr:uid="{00000000-0004-0000-0100-00003B000000}"/>
    <hyperlink ref="D38" r:id="rId61" display="http://www.msn.com/en-us/money/stockdetails/126.1.NE.NYS" xr:uid="{00000000-0004-0000-0100-00003C000000}"/>
    <hyperlink ref="B39" r:id="rId62" display="http://www.msn.com/en-us/money/stockdetails/126.1.PGR.NYS" xr:uid="{00000000-0004-0000-0100-00003D000000}"/>
    <hyperlink ref="C39" r:id="rId63" display="http://www.msn.com/en-us/money/stockdetails/charts/fi-126.1.PGR.NYS" xr:uid="{00000000-0004-0000-0100-00003E000000}"/>
    <hyperlink ref="D39" r:id="rId64" display="http://www.msn.com/en-us/money/stockdetails/126.1.PGR.NYS" xr:uid="{00000000-0004-0000-0100-00003F000000}"/>
    <hyperlink ref="B40" r:id="rId65" display="http://www.msn.com/en-us/money/stockdetails/126.1.TJX.NYS" xr:uid="{00000000-0004-0000-0100-000040000000}"/>
    <hyperlink ref="C40" r:id="rId66" display="http://www.msn.com/en-us/money/stockdetails/charts/fi-126.1.TJX.NYS" xr:uid="{00000000-0004-0000-0100-000041000000}"/>
    <hyperlink ref="D40" r:id="rId67" display="http://www.msn.com/en-us/money/stockdetails/126.1.TJX.NYS" xr:uid="{00000000-0004-0000-0100-000042000000}"/>
    <hyperlink ref="B41" r:id="rId68" display="http://www.msn.com/en-us/money/stockdetails/126.1.WMT.NYS" xr:uid="{00000000-0004-0000-0100-000043000000}"/>
    <hyperlink ref="C41" r:id="rId69" display="http://www.msn.com/en-us/money/stockdetails/charts/fi-126.1.WMT.NYS" xr:uid="{00000000-0004-0000-0100-000044000000}"/>
    <hyperlink ref="D41" r:id="rId70" display="http://www.msn.com/en-us/money/stockdetails/126.1.WMT.NYS" xr:uid="{00000000-0004-0000-0100-000045000000}"/>
    <hyperlink ref="B44" r:id="rId71" display="http://www.msn.com/en-us/money/stockdetails/126.1.YHOO.NAS" xr:uid="{00000000-0004-0000-0100-000046000000}"/>
    <hyperlink ref="C44" r:id="rId72" display="http://www.msn.com/en-us/money/stockdetails/charts/fi-126.1.YHOO.NAS" xr:uid="{00000000-0004-0000-0100-000047000000}"/>
    <hyperlink ref="D44" r:id="rId73" display="http://www.msn.com/en-us/money/stockdetails/126.1.YHOO.NAS" xr:uid="{00000000-0004-0000-0100-000048000000}"/>
    <hyperlink ref="B43" r:id="rId74" display="http://www.msn.com/en-us/money/stockdetails/126.1.YGE.NYS" xr:uid="{00000000-0004-0000-0100-000049000000}"/>
    <hyperlink ref="C43" r:id="rId75" display="http://www.msn.com/en-us/money/stockdetails/charts/fi-126.1.YGE.NYS" xr:uid="{00000000-0004-0000-0100-00004A000000}"/>
    <hyperlink ref="D43" r:id="rId76" display="http://www.msn.com/en-us/money/stockdetails/126.1.YGE.NYS" xr:uid="{00000000-0004-0000-0100-00004B000000}"/>
    <hyperlink ref="B42" r:id="rId77" display="http://www.msn.com/en-us/money/stockdetails/126.1.X.NYS" xr:uid="{00000000-0004-0000-0100-00004C000000}"/>
    <hyperlink ref="C42" r:id="rId78" display="http://www.msn.com/en-us/money/stockdetails/charts/fi-126.1.X.NYS" xr:uid="{00000000-0004-0000-0100-00004D000000}"/>
    <hyperlink ref="D42" r:id="rId79" display="http://www.msn.com/en-us/money/stockdetails/126.1.X.NYS" xr:uid="{00000000-0004-0000-0100-00004E000000}"/>
    <hyperlink ref="B31" r:id="rId80" display="http://www.msn.com/en-us/money/stockdetails/126.1.M.NYS" xr:uid="{00000000-0004-0000-0100-00004F000000}"/>
    <hyperlink ref="C31" r:id="rId81" display="http://www.msn.com/en-us/money/stockdetails/charts/fi-126.1.M.NYS" xr:uid="{00000000-0004-0000-0100-000050000000}"/>
    <hyperlink ref="D31" r:id="rId82" display="http://www.msn.com/en-us/money/stockdetails/126.1.M.NYS" xr:uid="{00000000-0004-0000-0100-000051000000}"/>
    <hyperlink ref="B47" r:id="rId83" display="http://www.msn.com/en-us/money/stockdetails/126.1.EBAY.NAS" xr:uid="{00000000-0004-0000-0100-000052000000}"/>
    <hyperlink ref="C47" r:id="rId84" display="http://www.msn.com/en-us/money/stockdetails/charts/fi-126.1.EBAY.NAS" xr:uid="{00000000-0004-0000-0100-000053000000}"/>
    <hyperlink ref="D47" r:id="rId85" display="http://www.msn.com/en-us/money/stockdetails/126.1.EBAY.NAS" xr:uid="{00000000-0004-0000-0100-000054000000}"/>
    <hyperlink ref="B15" r:id="rId86" display="http://www.msn.com/en-us/money/stockdetails/126.1.AMGN.NAS" xr:uid="{00000000-0004-0000-0100-000055000000}"/>
    <hyperlink ref="C15" r:id="rId87" display="http://www.msn.com/en-us/money/stockdetails/charts/fi-126.1.AMGN.NAS" xr:uid="{00000000-0004-0000-0100-000056000000}"/>
    <hyperlink ref="D15" r:id="rId88" display="http://www.msn.com/en-us/money/stockdetails/126.1.AMGN.NAS" xr:uid="{00000000-0004-0000-0100-000057000000}"/>
    <hyperlink ref="B35" r:id="rId89" display="http://www.msn.com/en-us/money/stockdetails/126.1.MSFT.NAS" xr:uid="{00000000-0004-0000-0100-000058000000}"/>
    <hyperlink ref="C35" r:id="rId90" display="http://www.msn.com/en-us/money/stockdetails/charts/fi-126.1.MSFT.NAS" xr:uid="{00000000-0004-0000-0100-000059000000}"/>
    <hyperlink ref="D35" r:id="rId91" display="http://www.msn.com/en-us/money/stockdetails/126.1.MSFT.NAS" xr:uid="{00000000-0004-0000-0100-00005A000000}"/>
    <hyperlink ref="B45" r:id="rId92" display="http://www.msn.com/en-us/money/stockdetails/126.1.COST.NAS" xr:uid="{00000000-0004-0000-0100-00005B000000}"/>
    <hyperlink ref="C45" r:id="rId93" display="http://www.msn.com/en-us/money/stockdetails/charts/fi-126.1.COST.NAS" xr:uid="{00000000-0004-0000-0100-00005C000000}"/>
    <hyperlink ref="D45" r:id="rId94" display="http://www.msn.com/en-us/money/stockdetails/126.1.COST.NAS" xr:uid="{00000000-0004-0000-0100-00005D000000}"/>
    <hyperlink ref="B46" r:id="rId95" display="http://www.msn.com/en-us/money/stockdetails/126.1.DO.NYS" xr:uid="{00000000-0004-0000-0100-00005E000000}"/>
    <hyperlink ref="C46" r:id="rId96" display="http://www.msn.com/en-us/money/stockdetails/charts/fi-126.1.DO.NYS" xr:uid="{00000000-0004-0000-0100-00005F000000}"/>
    <hyperlink ref="D46" r:id="rId97" display="http://www.msn.com/en-us/money/stockdetails/126.1.DO.NYS" xr:uid="{00000000-0004-0000-0100-000060000000}"/>
    <hyperlink ref="B48" r:id="rId98" display="http://www.msn.com/en-us/money/stockdetails/126.1.QCOM.NAS" xr:uid="{00000000-0004-0000-0100-000061000000}"/>
    <hyperlink ref="C48" r:id="rId99" display="http://www.msn.com/en-us/money/stockdetails/charts/fi-126.1.QCOM.NAS" xr:uid="{00000000-0004-0000-0100-000062000000}"/>
    <hyperlink ref="D48" r:id="rId100" display="http://www.msn.com/en-us/money/stockdetails/126.1.QCOM.NAS" xr:uid="{00000000-0004-0000-0100-000063000000}"/>
    <hyperlink ref="B49" r:id="rId101" display="http://www.msn.com/en-us/money/stockdetails/126.1.TGT.NYS" xr:uid="{00000000-0004-0000-0100-000064000000}"/>
    <hyperlink ref="C49" r:id="rId102" display="http://www.msn.com/en-us/money/stockdetails/charts/fi-126.1.TGT.NYS" xr:uid="{00000000-0004-0000-0100-000065000000}"/>
    <hyperlink ref="D49" r:id="rId103" display="http://www.msn.com/en-us/money/stockdetails/126.1.TGT.NYS" xr:uid="{00000000-0004-0000-0100-000066000000}"/>
    <hyperlink ref="B37" r:id="rId104" display="http://www.msn.com/en-us/money/indexdetails/41.10.WXSP" xr:uid="{00000000-0004-0000-0100-000067000000}"/>
    <hyperlink ref="C37" r:id="rId105" display="http://www.msn.com/en-us/money/indexdetails/charts/fi-41.10.WXSP" xr:uid="{00000000-0004-0000-0100-000068000000}"/>
    <hyperlink ref="D37" r:id="rId106" display="http://www.msn.com/en-us/money/indexdetails/41.10.WXSP" xr:uid="{00000000-0004-0000-0100-000069000000}"/>
    <hyperlink ref="B50" r:id="rId107" display="http://www.msn.com/en-us/money/stockdetails/126.1.WFM.NAS" xr:uid="{00000000-0004-0000-0100-00006A000000}"/>
    <hyperlink ref="C50" r:id="rId108" display="http://www.msn.com/en-us/money/stockdetails/charts/fi-126.1.WFM.NAS" xr:uid="{00000000-0004-0000-0100-00006B000000}"/>
    <hyperlink ref="D50" r:id="rId109" display="http://www.msn.com/en-us/money/stockdetails/126.1.WFM.NAS" xr:uid="{00000000-0004-0000-0100-00006C000000}"/>
    <hyperlink ref="B14" r:id="rId110" display="http://www.msn.com/en-us/money/stockdetails/126.1.ABT.NYS" xr:uid="{00000000-0004-0000-0100-00006D000000}"/>
    <hyperlink ref="C14" r:id="rId111" display="http://www.msn.com/en-us/money/stockdetails/charts/fi-126.1.ABT.NYS" xr:uid="{00000000-0004-0000-0100-00006E000000}"/>
    <hyperlink ref="D14" r:id="rId112" display="http://www.msn.com/en-us/money/stockdetails/126.1.ABT.NYS" xr:uid="{00000000-0004-0000-0100-00006F000000}"/>
    <hyperlink ref="B21" r:id="rId113" display="http://www.msn.com/en-us/money/stockdetails/126.1.GSK.NYS" xr:uid="{00000000-0004-0000-0100-000070000000}"/>
    <hyperlink ref="C21" r:id="rId114" display="http://www.msn.com/en-us/money/stockdetails/charts/fi-126.1.GSK.NYS" xr:uid="{00000000-0004-0000-0100-000071000000}"/>
    <hyperlink ref="D21" r:id="rId115" display="http://www.msn.com/en-us/money/stockdetails/126.1.GSK.NYS" xr:uid="{00000000-0004-0000-0100-000072000000}"/>
  </hyperlinks>
  <pageMargins left="0.7" right="0.7" top="0.75" bottom="0.75" header="0.3" footer="0.3"/>
  <pageSetup orientation="portrait" horizontalDpi="0" verticalDpi="0"/>
  <headerFooter>
    <oddHeader>&amp;CStephanie Agbenorhevi</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A1:W180"/>
  <sheetViews>
    <sheetView view="pageLayout" zoomScaleNormal="84" workbookViewId="0">
      <selection activeCell="B4" sqref="B4"/>
    </sheetView>
  </sheetViews>
  <sheetFormatPr baseColWidth="10" defaultColWidth="8.83203125" defaultRowHeight="13"/>
  <cols>
    <col min="2" max="2" width="10.5" style="167" customWidth="1"/>
    <col min="3" max="3" width="35.83203125" style="167" customWidth="1"/>
    <col min="4" max="4" width="18.1640625" style="167" customWidth="1"/>
    <col min="5" max="5" width="17.6640625" style="167" customWidth="1"/>
    <col min="6" max="6" width="15.33203125" style="167" customWidth="1"/>
    <col min="7" max="7" width="15" style="167" customWidth="1"/>
    <col min="8" max="8" width="18.5" style="167" bestFit="1" customWidth="1"/>
    <col min="9" max="9" width="10" style="167" bestFit="1" customWidth="1"/>
    <col min="10" max="10" width="14.5" style="167" bestFit="1" customWidth="1"/>
    <col min="11" max="11" width="18.83203125" style="167" bestFit="1" customWidth="1"/>
    <col min="12" max="12" width="13.33203125" style="167" bestFit="1" customWidth="1"/>
    <col min="13" max="13" width="11.6640625" style="167" bestFit="1" customWidth="1"/>
    <col min="14" max="14" width="13.6640625" style="167" bestFit="1" customWidth="1"/>
    <col min="15" max="15" width="13.6640625" style="167" customWidth="1"/>
    <col min="16" max="16" width="11.6640625" style="167" bestFit="1" customWidth="1"/>
    <col min="17" max="17" width="20.6640625" style="167" customWidth="1"/>
    <col min="18" max="18" width="20" style="167" bestFit="1" customWidth="1"/>
  </cols>
  <sheetData>
    <row r="1" spans="1:19">
      <c r="B1" s="20" t="s">
        <v>0</v>
      </c>
      <c r="C1" s="20" t="s">
        <v>1</v>
      </c>
      <c r="D1" s="20" t="s">
        <v>2</v>
      </c>
      <c r="E1" s="20" t="s">
        <v>3</v>
      </c>
      <c r="F1" s="20" t="s">
        <v>4</v>
      </c>
      <c r="G1" s="20" t="s">
        <v>5</v>
      </c>
      <c r="H1" s="20" t="s">
        <v>16</v>
      </c>
      <c r="I1" s="20" t="s">
        <v>17</v>
      </c>
      <c r="J1" s="20" t="s">
        <v>18</v>
      </c>
      <c r="K1" s="20" t="s">
        <v>19</v>
      </c>
      <c r="L1" s="20" t="s">
        <v>20</v>
      </c>
      <c r="M1" s="20" t="s">
        <v>21</v>
      </c>
      <c r="N1" s="20" t="s">
        <v>23</v>
      </c>
      <c r="O1" s="20" t="s">
        <v>24</v>
      </c>
      <c r="P1" s="20" t="s">
        <v>25</v>
      </c>
      <c r="Q1" s="20" t="s">
        <v>26</v>
      </c>
      <c r="R1" s="20" t="s">
        <v>22</v>
      </c>
    </row>
    <row r="2" spans="1:19">
      <c r="B2" s="10"/>
      <c r="C2" s="10"/>
      <c r="D2" s="10"/>
      <c r="E2" s="10"/>
      <c r="F2" s="10"/>
      <c r="G2" s="10"/>
      <c r="H2" s="10"/>
      <c r="I2" s="10"/>
      <c r="J2" s="10"/>
      <c r="K2" s="10"/>
      <c r="L2" s="10"/>
      <c r="M2" s="10"/>
      <c r="N2" s="10"/>
      <c r="O2" s="10"/>
      <c r="P2" s="10"/>
      <c r="Q2" s="10"/>
      <c r="R2" s="10"/>
    </row>
    <row r="3" spans="1:19">
      <c r="B3" s="10"/>
      <c r="C3" s="10"/>
      <c r="D3" s="10"/>
      <c r="E3" s="10"/>
      <c r="F3" s="10"/>
      <c r="G3" s="10"/>
      <c r="H3" s="10"/>
      <c r="I3" s="10"/>
      <c r="J3" s="10"/>
      <c r="K3" s="10"/>
      <c r="L3" s="10"/>
      <c r="M3" s="10"/>
      <c r="N3" s="10"/>
      <c r="O3" s="10"/>
      <c r="P3" s="10"/>
      <c r="Q3" s="10"/>
      <c r="R3" s="10"/>
    </row>
    <row r="6" spans="1:19" ht="14" thickBot="1">
      <c r="B6"/>
      <c r="C6"/>
      <c r="D6"/>
      <c r="E6"/>
      <c r="F6"/>
      <c r="G6"/>
      <c r="H6"/>
      <c r="I6"/>
      <c r="J6"/>
      <c r="K6"/>
      <c r="L6"/>
      <c r="M6"/>
      <c r="N6"/>
      <c r="O6"/>
      <c r="P6"/>
      <c r="Q6"/>
      <c r="R6"/>
    </row>
    <row r="7" spans="1:19" ht="15" thickBot="1">
      <c r="B7" s="1"/>
      <c r="C7"/>
      <c r="D7" s="25" t="s">
        <v>112</v>
      </c>
      <c r="E7" s="26"/>
      <c r="F7" s="26"/>
      <c r="G7" s="27"/>
      <c r="H7"/>
      <c r="I7"/>
      <c r="J7"/>
      <c r="K7"/>
      <c r="L7"/>
      <c r="M7"/>
      <c r="N7"/>
      <c r="O7"/>
      <c r="P7"/>
      <c r="Q7"/>
      <c r="R7"/>
    </row>
    <row r="8" spans="1:19">
      <c r="B8"/>
      <c r="C8"/>
      <c r="D8"/>
      <c r="E8"/>
      <c r="F8"/>
      <c r="G8"/>
      <c r="H8" s="287" t="s">
        <v>140</v>
      </c>
      <c r="I8" s="287"/>
      <c r="J8" s="287"/>
      <c r="K8" s="287"/>
      <c r="L8" s="287"/>
      <c r="M8" s="287"/>
      <c r="N8" s="287"/>
      <c r="O8" s="287"/>
      <c r="P8" s="287"/>
      <c r="Q8" s="287"/>
      <c r="R8" s="287"/>
    </row>
    <row r="10" spans="1:19">
      <c r="B10" s="83" t="s">
        <v>0</v>
      </c>
      <c r="C10" s="83" t="s">
        <v>1</v>
      </c>
      <c r="D10" s="83" t="s">
        <v>2</v>
      </c>
      <c r="E10" s="83" t="s">
        <v>3</v>
      </c>
      <c r="F10" s="83" t="s">
        <v>4</v>
      </c>
      <c r="G10" s="83" t="s">
        <v>5</v>
      </c>
      <c r="H10" s="83" t="s">
        <v>16</v>
      </c>
      <c r="I10" s="83" t="s">
        <v>17</v>
      </c>
      <c r="J10" s="83" t="s">
        <v>18</v>
      </c>
      <c r="K10" s="83" t="s">
        <v>19</v>
      </c>
      <c r="L10" s="83" t="s">
        <v>20</v>
      </c>
      <c r="M10" s="83" t="s">
        <v>21</v>
      </c>
      <c r="N10" s="83" t="s">
        <v>23</v>
      </c>
      <c r="O10" s="83" t="s">
        <v>24</v>
      </c>
      <c r="P10" s="83" t="s">
        <v>25</v>
      </c>
      <c r="Q10" s="83" t="s">
        <v>26</v>
      </c>
      <c r="R10" s="83" t="s">
        <v>22</v>
      </c>
    </row>
    <row r="11" spans="1:19">
      <c r="A11">
        <v>1</v>
      </c>
      <c r="B11" s="45" t="s">
        <v>171</v>
      </c>
      <c r="C11" s="45" t="s">
        <v>174</v>
      </c>
      <c r="D11" s="45" t="s">
        <v>12</v>
      </c>
      <c r="E11" s="45">
        <v>100</v>
      </c>
      <c r="F11" s="120">
        <v>40291</v>
      </c>
      <c r="G11" s="119">
        <v>28.53</v>
      </c>
      <c r="H11" s="173">
        <v>75323415209</v>
      </c>
      <c r="I11" s="174">
        <v>43.98</v>
      </c>
      <c r="J11" s="173">
        <v>43.59</v>
      </c>
      <c r="K11" s="39">
        <v>0.94</v>
      </c>
      <c r="L11" s="157">
        <f>IF((E11*G11*0.01)&gt;28,28,(E11*G11*0.01))</f>
        <v>28</v>
      </c>
      <c r="M11" s="156">
        <f>G11*E11+L11</f>
        <v>2881</v>
      </c>
      <c r="N11" s="156">
        <f>I11*E11</f>
        <v>4398</v>
      </c>
      <c r="O11" s="172">
        <f>(N11-M11)/M11</f>
        <v>0.5265532801110725</v>
      </c>
      <c r="P11" s="158">
        <f>IF(K11&lt;=0,0,(I11/K11))</f>
        <v>46.787234042553187</v>
      </c>
      <c r="Q11" s="83" t="str">
        <f>IF(H11&gt;10000000000,"Large",IF(AND(H11&gt;=5000000000,H11&lt;=10000000000),"Medium",IF(H11&lt;5000000000,"Small","N/A")))</f>
        <v>Large</v>
      </c>
      <c r="R11" s="166">
        <f>N11/SUM($N$11:$N$41)</f>
        <v>2.5994020075090683E-2</v>
      </c>
    </row>
    <row r="12" spans="1:19" ht="13.5" customHeight="1">
      <c r="A12">
        <v>2</v>
      </c>
      <c r="B12" s="48" t="s">
        <v>177</v>
      </c>
      <c r="C12" s="77" t="s">
        <v>144</v>
      </c>
      <c r="D12" s="45" t="s">
        <v>12</v>
      </c>
      <c r="E12" s="78">
        <v>100</v>
      </c>
      <c r="F12" s="79">
        <v>40291</v>
      </c>
      <c r="G12" s="80">
        <v>105.48</v>
      </c>
      <c r="H12" s="40">
        <v>123606162095</v>
      </c>
      <c r="I12" s="38">
        <v>162.72</v>
      </c>
      <c r="J12" s="39">
        <v>164.4</v>
      </c>
      <c r="K12" s="39">
        <v>9.06</v>
      </c>
      <c r="L12" s="157">
        <f t="shared" ref="L12" si="0">IF((E12*G12*0.01)&gt;28,28,(E12*G12*0.01))</f>
        <v>28</v>
      </c>
      <c r="M12" s="156">
        <f t="shared" ref="M12" si="1">G12*E12+L12</f>
        <v>10576</v>
      </c>
      <c r="N12" s="156">
        <f t="shared" ref="N12" si="2">I12*E12</f>
        <v>16272</v>
      </c>
      <c r="O12" s="172">
        <f t="shared" ref="O12" si="3">(N12-M12)/M12</f>
        <v>0.53857791225416041</v>
      </c>
      <c r="P12" s="158">
        <f t="shared" ref="P12" si="4">IF(K12&lt;=0,0,(I12/K12))</f>
        <v>17.960264900662249</v>
      </c>
      <c r="Q12" s="83" t="str">
        <f t="shared" ref="Q12" si="5">IF(H12&gt;10000000000,"Large",IF(AND(H12&gt;=5000000000,H12&lt;=10000000000),"Medium",IF(H12&lt;5000000000,"Small","N/A")))</f>
        <v>Large</v>
      </c>
      <c r="R12" s="166">
        <f t="shared" ref="R12" si="6">N12/SUM($N$11:$N$41)</f>
        <v>9.6174328026802092E-2</v>
      </c>
      <c r="S12" s="159"/>
    </row>
    <row r="13" spans="1:19" ht="12.75" customHeight="1">
      <c r="A13">
        <v>3</v>
      </c>
      <c r="B13" s="48" t="s">
        <v>168</v>
      </c>
      <c r="C13" s="77" t="s">
        <v>66</v>
      </c>
      <c r="D13" s="77" t="s">
        <v>6</v>
      </c>
      <c r="E13" s="78">
        <v>100</v>
      </c>
      <c r="F13" s="79">
        <v>40291</v>
      </c>
      <c r="G13" s="80">
        <v>67.88</v>
      </c>
      <c r="H13" s="173">
        <v>15857072051</v>
      </c>
      <c r="I13" s="174">
        <v>99.59</v>
      </c>
      <c r="J13" s="173">
        <v>98.04</v>
      </c>
      <c r="K13" s="39">
        <v>5.59</v>
      </c>
      <c r="L13" s="157">
        <f t="shared" ref="L13:L40" si="7">IF((E13*G13*0.01)&gt;28,28,(E13*G13*0.01))</f>
        <v>28</v>
      </c>
      <c r="M13" s="156">
        <f t="shared" ref="M13:M40" si="8">G13*E13+L13</f>
        <v>6816</v>
      </c>
      <c r="N13" s="156">
        <f t="shared" ref="N13:N40" si="9">I13*E13</f>
        <v>9959</v>
      </c>
      <c r="O13" s="172">
        <f t="shared" ref="O13:O40" si="10">(N13-M13)/M13</f>
        <v>0.46112089201877932</v>
      </c>
      <c r="P13" s="158">
        <f t="shared" ref="P13:P40" si="11">IF(K13&lt;=0,0,(I13/K13))</f>
        <v>17.815742397137747</v>
      </c>
      <c r="Q13" s="83" t="str">
        <f t="shared" ref="Q13:Q40" si="12">IF(H13&gt;10000000000,"Large",IF(AND(H13&gt;=5000000000,H13&lt;=10000000000),"Medium",IF(H13&lt;5000000000,"Small","N/A")))</f>
        <v>Large</v>
      </c>
      <c r="R13" s="166">
        <f t="shared" ref="R13:R41" si="13">N13/SUM($N$11:$N$41)</f>
        <v>5.8861856736659411E-2</v>
      </c>
    </row>
    <row r="14" spans="1:19" ht="14">
      <c r="A14">
        <v>4</v>
      </c>
      <c r="B14" s="48" t="s">
        <v>91</v>
      </c>
      <c r="C14" s="77" t="s">
        <v>145</v>
      </c>
      <c r="D14" s="77" t="s">
        <v>7</v>
      </c>
      <c r="E14" s="78">
        <v>100</v>
      </c>
      <c r="F14" s="79">
        <v>40291</v>
      </c>
      <c r="G14" s="80">
        <v>34.46</v>
      </c>
      <c r="H14" s="173">
        <v>17434838571</v>
      </c>
      <c r="I14" s="174">
        <v>57.5</v>
      </c>
      <c r="J14" s="173">
        <v>57.28</v>
      </c>
      <c r="K14" s="39">
        <v>1.61</v>
      </c>
      <c r="L14" s="157">
        <f t="shared" si="7"/>
        <v>28</v>
      </c>
      <c r="M14" s="156">
        <f t="shared" si="8"/>
        <v>3474</v>
      </c>
      <c r="N14" s="156">
        <f t="shared" si="9"/>
        <v>5750</v>
      </c>
      <c r="O14" s="172">
        <f t="shared" si="10"/>
        <v>0.65515256188831317</v>
      </c>
      <c r="P14" s="158">
        <f t="shared" si="11"/>
        <v>35.714285714285715</v>
      </c>
      <c r="Q14" s="83" t="str">
        <f t="shared" si="12"/>
        <v>Large</v>
      </c>
      <c r="R14" s="166">
        <f t="shared" si="13"/>
        <v>3.3984905737101279E-2</v>
      </c>
    </row>
    <row r="15" spans="1:19" ht="14">
      <c r="A15">
        <v>5</v>
      </c>
      <c r="B15" s="48" t="s">
        <v>44</v>
      </c>
      <c r="C15" s="77" t="s">
        <v>80</v>
      </c>
      <c r="D15" s="77" t="s">
        <v>7</v>
      </c>
      <c r="E15" s="78">
        <v>200</v>
      </c>
      <c r="F15" s="79">
        <v>40291</v>
      </c>
      <c r="G15" s="80">
        <v>23.15</v>
      </c>
      <c r="H15" s="173">
        <v>17224304201</v>
      </c>
      <c r="I15" s="174">
        <v>40.72</v>
      </c>
      <c r="J15" s="173">
        <v>40.479999999999997</v>
      </c>
      <c r="K15" s="39">
        <v>1.38</v>
      </c>
      <c r="L15" s="157">
        <f t="shared" si="7"/>
        <v>28</v>
      </c>
      <c r="M15" s="156">
        <f t="shared" si="8"/>
        <v>4658</v>
      </c>
      <c r="N15" s="156">
        <f t="shared" si="9"/>
        <v>8144</v>
      </c>
      <c r="O15" s="172">
        <f t="shared" si="10"/>
        <v>0.74838986689566334</v>
      </c>
      <c r="P15" s="158">
        <f t="shared" si="11"/>
        <v>29.507246376811597</v>
      </c>
      <c r="Q15" s="83" t="str">
        <f t="shared" si="12"/>
        <v>Large</v>
      </c>
      <c r="R15" s="166">
        <f t="shared" si="13"/>
        <v>4.8134447360513533E-2</v>
      </c>
    </row>
    <row r="16" spans="1:19" ht="14">
      <c r="A16">
        <v>6</v>
      </c>
      <c r="B16" s="48" t="s">
        <v>92</v>
      </c>
      <c r="C16" s="77" t="s">
        <v>69</v>
      </c>
      <c r="D16" s="77" t="s">
        <v>8</v>
      </c>
      <c r="E16" s="78">
        <v>100</v>
      </c>
      <c r="F16" s="79">
        <v>40291</v>
      </c>
      <c r="G16" s="80">
        <v>69.41</v>
      </c>
      <c r="H16" s="173">
        <v>20590550000</v>
      </c>
      <c r="I16" s="174">
        <v>39.700000000000003</v>
      </c>
      <c r="J16" s="173">
        <v>39.25</v>
      </c>
      <c r="K16" s="39">
        <v>-6.52</v>
      </c>
      <c r="L16" s="157">
        <f t="shared" si="7"/>
        <v>28</v>
      </c>
      <c r="M16" s="156">
        <f t="shared" si="8"/>
        <v>6969</v>
      </c>
      <c r="N16" s="156">
        <f t="shared" si="9"/>
        <v>3970.0000000000005</v>
      </c>
      <c r="O16" s="172">
        <f t="shared" si="10"/>
        <v>-0.43033433778160418</v>
      </c>
      <c r="P16" s="158">
        <f t="shared" si="11"/>
        <v>0</v>
      </c>
      <c r="Q16" s="83" t="str">
        <f t="shared" si="12"/>
        <v>Large</v>
      </c>
      <c r="R16" s="166">
        <f t="shared" si="13"/>
        <v>2.3464361004572536E-2</v>
      </c>
    </row>
    <row r="17" spans="1:18" ht="14">
      <c r="A17">
        <v>7</v>
      </c>
      <c r="B17" s="48" t="s">
        <v>93</v>
      </c>
      <c r="C17" s="77" t="s">
        <v>70</v>
      </c>
      <c r="D17" s="77" t="s">
        <v>7</v>
      </c>
      <c r="E17" s="78">
        <v>100</v>
      </c>
      <c r="F17" s="79">
        <v>40291</v>
      </c>
      <c r="G17" s="80">
        <v>70.63</v>
      </c>
      <c r="H17" s="173">
        <v>33323671651</v>
      </c>
      <c r="I17" s="174">
        <v>57.88</v>
      </c>
      <c r="J17" s="173">
        <v>57.84</v>
      </c>
      <c r="K17" s="39">
        <v>2.7</v>
      </c>
      <c r="L17" s="157">
        <f t="shared" si="7"/>
        <v>28</v>
      </c>
      <c r="M17" s="156">
        <f t="shared" si="8"/>
        <v>7091</v>
      </c>
      <c r="N17" s="156">
        <f t="shared" si="9"/>
        <v>5788</v>
      </c>
      <c r="O17" s="172">
        <f t="shared" si="10"/>
        <v>-0.18375405443519954</v>
      </c>
      <c r="P17" s="158">
        <f t="shared" si="11"/>
        <v>21.437037037037037</v>
      </c>
      <c r="Q17" s="83" t="str">
        <f t="shared" si="12"/>
        <v>Large</v>
      </c>
      <c r="R17" s="166">
        <f t="shared" si="13"/>
        <v>3.4209501635885597E-2</v>
      </c>
    </row>
    <row r="18" spans="1:18" ht="14">
      <c r="A18">
        <v>8</v>
      </c>
      <c r="B18" s="48" t="s">
        <v>173</v>
      </c>
      <c r="C18" s="77" t="s">
        <v>175</v>
      </c>
      <c r="D18" s="77" t="s">
        <v>12</v>
      </c>
      <c r="E18" s="78">
        <v>150</v>
      </c>
      <c r="F18" s="79">
        <v>40291</v>
      </c>
      <c r="G18" s="80">
        <v>20.14</v>
      </c>
      <c r="H18" s="173">
        <v>109621013986</v>
      </c>
      <c r="I18" s="174">
        <v>40.71</v>
      </c>
      <c r="J18" s="173">
        <v>40.840000000000003</v>
      </c>
      <c r="K18" s="39">
        <v>0.37</v>
      </c>
      <c r="L18" s="157">
        <f t="shared" si="7"/>
        <v>28</v>
      </c>
      <c r="M18" s="156">
        <f t="shared" si="8"/>
        <v>3049</v>
      </c>
      <c r="N18" s="156">
        <f t="shared" si="9"/>
        <v>6106.5</v>
      </c>
      <c r="O18" s="172">
        <f t="shared" si="10"/>
        <v>1.002787799278452</v>
      </c>
      <c r="P18" s="158">
        <f t="shared" si="11"/>
        <v>110.02702702702703</v>
      </c>
      <c r="Q18" s="83" t="str">
        <f t="shared" si="12"/>
        <v>Large</v>
      </c>
      <c r="R18" s="166">
        <f t="shared" si="13"/>
        <v>3.6091969892801556E-2</v>
      </c>
    </row>
    <row r="19" spans="1:18" ht="14">
      <c r="A19">
        <v>9</v>
      </c>
      <c r="B19" s="43" t="s">
        <v>94</v>
      </c>
      <c r="C19" s="44" t="s">
        <v>146</v>
      </c>
      <c r="D19" s="77" t="s">
        <v>9</v>
      </c>
      <c r="E19" s="78">
        <v>30</v>
      </c>
      <c r="F19" s="79">
        <v>40291</v>
      </c>
      <c r="G19" s="80">
        <v>40.53</v>
      </c>
      <c r="H19" s="173">
        <v>11939394310</v>
      </c>
      <c r="I19" s="174">
        <v>96.01</v>
      </c>
      <c r="J19" s="173">
        <v>95.51</v>
      </c>
      <c r="K19" s="39">
        <v>4.34</v>
      </c>
      <c r="L19" s="157">
        <f t="shared" si="7"/>
        <v>12.159000000000001</v>
      </c>
      <c r="M19" s="156">
        <f t="shared" si="8"/>
        <v>1228.0590000000002</v>
      </c>
      <c r="N19" s="156">
        <f t="shared" si="9"/>
        <v>2880.3</v>
      </c>
      <c r="O19" s="172">
        <f t="shared" si="10"/>
        <v>1.3454084860743658</v>
      </c>
      <c r="P19" s="158">
        <f t="shared" si="11"/>
        <v>22.122119815668206</v>
      </c>
      <c r="Q19" s="83" t="str">
        <f t="shared" si="12"/>
        <v>Large</v>
      </c>
      <c r="R19" s="166">
        <f t="shared" si="13"/>
        <v>1.7023778086012666E-2</v>
      </c>
    </row>
    <row r="20" spans="1:18" ht="14">
      <c r="A20">
        <v>10</v>
      </c>
      <c r="B20" s="48" t="s">
        <v>52</v>
      </c>
      <c r="C20" s="77" t="s">
        <v>147</v>
      </c>
      <c r="D20" s="45" t="s">
        <v>10</v>
      </c>
      <c r="E20" s="23">
        <v>100</v>
      </c>
      <c r="F20" s="46">
        <v>40291</v>
      </c>
      <c r="G20" s="47">
        <v>18.53</v>
      </c>
      <c r="H20" s="173">
        <v>31076572682</v>
      </c>
      <c r="I20" s="174">
        <v>18.52</v>
      </c>
      <c r="J20" s="173">
        <v>18.38</v>
      </c>
      <c r="K20" s="39">
        <v>1.46</v>
      </c>
      <c r="L20" s="157">
        <f t="shared" si="7"/>
        <v>18.53</v>
      </c>
      <c r="M20" s="156">
        <f t="shared" si="8"/>
        <v>1871.53</v>
      </c>
      <c r="N20" s="156">
        <f t="shared" si="9"/>
        <v>1852</v>
      </c>
      <c r="O20" s="172">
        <f t="shared" si="10"/>
        <v>-1.0435312284601355E-2</v>
      </c>
      <c r="P20" s="158">
        <f t="shared" si="11"/>
        <v>12.684931506849315</v>
      </c>
      <c r="Q20" s="83" t="str">
        <f t="shared" si="12"/>
        <v>Large</v>
      </c>
      <c r="R20" s="166">
        <f t="shared" si="13"/>
        <v>1.0946094856541142E-2</v>
      </c>
    </row>
    <row r="21" spans="1:18" ht="14">
      <c r="A21">
        <v>11</v>
      </c>
      <c r="B21" s="48" t="s">
        <v>95</v>
      </c>
      <c r="C21" s="77" t="s">
        <v>148</v>
      </c>
      <c r="D21" s="77" t="s">
        <v>7</v>
      </c>
      <c r="E21" s="78">
        <v>100</v>
      </c>
      <c r="F21" s="79">
        <v>40291</v>
      </c>
      <c r="G21" s="80">
        <v>48.72</v>
      </c>
      <c r="H21" s="173">
        <v>23104464730</v>
      </c>
      <c r="I21" s="174">
        <v>108.8</v>
      </c>
      <c r="J21" s="173">
        <v>108.63</v>
      </c>
      <c r="K21" s="39">
        <v>3.34</v>
      </c>
      <c r="L21" s="157">
        <f t="shared" si="7"/>
        <v>28</v>
      </c>
      <c r="M21" s="156">
        <f t="shared" si="8"/>
        <v>4900</v>
      </c>
      <c r="N21" s="156">
        <f t="shared" si="9"/>
        <v>10880</v>
      </c>
      <c r="O21" s="172">
        <f t="shared" si="10"/>
        <v>1.2204081632653061</v>
      </c>
      <c r="P21" s="158">
        <f t="shared" si="11"/>
        <v>32.574850299401199</v>
      </c>
      <c r="Q21" s="83" t="str">
        <f t="shared" si="12"/>
        <v>Large</v>
      </c>
      <c r="R21" s="166">
        <f t="shared" si="13"/>
        <v>6.4305352072984684E-2</v>
      </c>
    </row>
    <row r="22" spans="1:18" ht="14">
      <c r="A22">
        <v>12</v>
      </c>
      <c r="B22" s="48" t="s">
        <v>96</v>
      </c>
      <c r="C22" s="77" t="s">
        <v>71</v>
      </c>
      <c r="D22" s="77" t="s">
        <v>10</v>
      </c>
      <c r="E22" s="78">
        <v>50</v>
      </c>
      <c r="F22" s="79">
        <v>40291</v>
      </c>
      <c r="G22" s="80">
        <v>126.99</v>
      </c>
      <c r="H22" s="173">
        <v>152508037371</v>
      </c>
      <c r="I22" s="174">
        <v>162.30000000000001</v>
      </c>
      <c r="J22" s="173">
        <v>161.69</v>
      </c>
      <c r="K22" s="39">
        <v>12.38</v>
      </c>
      <c r="L22" s="157">
        <f t="shared" si="7"/>
        <v>28</v>
      </c>
      <c r="M22" s="156">
        <f t="shared" si="8"/>
        <v>6377.5</v>
      </c>
      <c r="N22" s="156">
        <f>I22*E22</f>
        <v>8115.0000000000009</v>
      </c>
      <c r="O22" s="172">
        <f t="shared" si="10"/>
        <v>0.27244217953743644</v>
      </c>
      <c r="P22" s="158">
        <f t="shared" si="11"/>
        <v>13.109854604200324</v>
      </c>
      <c r="Q22" s="83" t="str">
        <f t="shared" si="12"/>
        <v>Large</v>
      </c>
      <c r="R22" s="166">
        <f t="shared" si="13"/>
        <v>4.7963045227230765E-2</v>
      </c>
    </row>
    <row r="23" spans="1:18" ht="14">
      <c r="A23">
        <v>13</v>
      </c>
      <c r="B23" s="48" t="s">
        <v>97</v>
      </c>
      <c r="C23" s="77" t="s">
        <v>149</v>
      </c>
      <c r="D23" s="77" t="s">
        <v>11</v>
      </c>
      <c r="E23" s="78">
        <v>100</v>
      </c>
      <c r="F23" s="79">
        <v>40291</v>
      </c>
      <c r="G23" s="80">
        <v>56.48</v>
      </c>
      <c r="H23" s="173">
        <v>3457914174</v>
      </c>
      <c r="I23" s="174">
        <v>39.96</v>
      </c>
      <c r="J23" s="173">
        <v>39</v>
      </c>
      <c r="K23" s="39">
        <v>2.0699999999999998</v>
      </c>
      <c r="L23" s="157">
        <f t="shared" si="7"/>
        <v>28</v>
      </c>
      <c r="M23" s="156">
        <f t="shared" si="8"/>
        <v>5676</v>
      </c>
      <c r="N23" s="156">
        <f t="shared" si="9"/>
        <v>3996</v>
      </c>
      <c r="O23" s="172">
        <f t="shared" si="10"/>
        <v>-0.29598308668076112</v>
      </c>
      <c r="P23" s="158">
        <f t="shared" si="11"/>
        <v>19.304347826086957</v>
      </c>
      <c r="Q23" s="83" t="str">
        <f t="shared" si="12"/>
        <v>Small</v>
      </c>
      <c r="R23" s="166">
        <f t="shared" si="13"/>
        <v>2.3618031882688122E-2</v>
      </c>
    </row>
    <row r="24" spans="1:18" ht="14">
      <c r="A24">
        <v>14</v>
      </c>
      <c r="B24" s="48" t="s">
        <v>98</v>
      </c>
      <c r="C24" s="77" t="s">
        <v>72</v>
      </c>
      <c r="D24" s="77" t="s">
        <v>11</v>
      </c>
      <c r="E24" s="78">
        <v>100</v>
      </c>
      <c r="F24" s="79">
        <v>40291</v>
      </c>
      <c r="G24" s="80">
        <v>34.229999999999997</v>
      </c>
      <c r="H24" s="173">
        <v>38749953547</v>
      </c>
      <c r="I24" s="174">
        <v>41.73</v>
      </c>
      <c r="J24" s="173">
        <v>41.28</v>
      </c>
      <c r="K24" s="39">
        <v>-1.64</v>
      </c>
      <c r="L24" s="157">
        <f t="shared" si="7"/>
        <v>28</v>
      </c>
      <c r="M24" s="156">
        <f t="shared" si="8"/>
        <v>3450.9999999999995</v>
      </c>
      <c r="N24" s="156">
        <f t="shared" si="9"/>
        <v>4173</v>
      </c>
      <c r="O24" s="172">
        <f t="shared" si="10"/>
        <v>0.20921472037090713</v>
      </c>
      <c r="P24" s="158">
        <f t="shared" si="11"/>
        <v>0</v>
      </c>
      <c r="Q24" s="83" t="str">
        <f t="shared" si="12"/>
        <v>Large</v>
      </c>
      <c r="R24" s="166">
        <f t="shared" si="13"/>
        <v>2.4664175937551935E-2</v>
      </c>
    </row>
    <row r="25" spans="1:18" ht="14">
      <c r="A25">
        <v>15</v>
      </c>
      <c r="B25" s="48" t="s">
        <v>99</v>
      </c>
      <c r="C25" s="77" t="s">
        <v>73</v>
      </c>
      <c r="D25" s="77" t="s">
        <v>12</v>
      </c>
      <c r="E25" s="78">
        <v>88</v>
      </c>
      <c r="F25" s="79">
        <v>40291</v>
      </c>
      <c r="G25" s="80">
        <v>65.040000000000006</v>
      </c>
      <c r="H25" s="173">
        <v>329020961069</v>
      </c>
      <c r="I25" s="174">
        <v>121.87</v>
      </c>
      <c r="J25" s="173">
        <v>121.37</v>
      </c>
      <c r="K25" s="39">
        <v>5.93</v>
      </c>
      <c r="L25" s="157">
        <f t="shared" si="7"/>
        <v>28</v>
      </c>
      <c r="M25" s="156">
        <f t="shared" si="8"/>
        <v>5751.52</v>
      </c>
      <c r="N25" s="156">
        <f t="shared" si="9"/>
        <v>10724.560000000001</v>
      </c>
      <c r="O25" s="172">
        <f t="shared" si="10"/>
        <v>0.86464795393217797</v>
      </c>
      <c r="P25" s="158">
        <f t="shared" si="11"/>
        <v>20.551433389544691</v>
      </c>
      <c r="Q25" s="83" t="str">
        <f t="shared" si="12"/>
        <v>Large</v>
      </c>
      <c r="R25" s="166">
        <f t="shared" si="13"/>
        <v>6.3386636638589025E-2</v>
      </c>
    </row>
    <row r="26" spans="1:18" ht="14">
      <c r="A26">
        <v>16</v>
      </c>
      <c r="B26" s="48" t="s">
        <v>100</v>
      </c>
      <c r="C26" s="77" t="s">
        <v>150</v>
      </c>
      <c r="D26" s="77" t="s">
        <v>13</v>
      </c>
      <c r="E26" s="78">
        <v>200</v>
      </c>
      <c r="F26" s="79">
        <v>40291</v>
      </c>
      <c r="G26" s="80">
        <v>49.48</v>
      </c>
      <c r="H26" s="173">
        <v>6752919598</v>
      </c>
      <c r="I26" s="174">
        <v>40.76</v>
      </c>
      <c r="J26" s="173">
        <v>39.18</v>
      </c>
      <c r="K26" s="39">
        <v>3.11</v>
      </c>
      <c r="L26" s="157">
        <f t="shared" si="7"/>
        <v>28</v>
      </c>
      <c r="M26" s="156">
        <f t="shared" si="8"/>
        <v>9924</v>
      </c>
      <c r="N26" s="156">
        <f t="shared" si="9"/>
        <v>8152</v>
      </c>
      <c r="O26" s="172">
        <f t="shared" si="10"/>
        <v>-0.17855703345425231</v>
      </c>
      <c r="P26" s="158">
        <f t="shared" si="11"/>
        <v>13.106109324758842</v>
      </c>
      <c r="Q26" s="83" t="str">
        <f t="shared" si="12"/>
        <v>Medium</v>
      </c>
      <c r="R26" s="166">
        <f t="shared" si="13"/>
        <v>4.8181730707626019E-2</v>
      </c>
    </row>
    <row r="27" spans="1:18" ht="14">
      <c r="A27">
        <v>17</v>
      </c>
      <c r="B27" s="48" t="s">
        <v>122</v>
      </c>
      <c r="C27" s="77" t="s">
        <v>151</v>
      </c>
      <c r="D27" s="77" t="s">
        <v>12</v>
      </c>
      <c r="E27" s="78">
        <v>50</v>
      </c>
      <c r="F27" s="79">
        <v>40291</v>
      </c>
      <c r="G27" s="80">
        <v>35.46</v>
      </c>
      <c r="H27" s="173">
        <v>89250333937</v>
      </c>
      <c r="I27" s="174">
        <v>81.94</v>
      </c>
      <c r="J27" s="173">
        <v>80.89</v>
      </c>
      <c r="K27" s="39">
        <v>2.58</v>
      </c>
      <c r="L27" s="157">
        <f t="shared" si="7"/>
        <v>17.73</v>
      </c>
      <c r="M27" s="156">
        <f t="shared" si="8"/>
        <v>1790.73</v>
      </c>
      <c r="N27" s="156">
        <f t="shared" si="9"/>
        <v>4097</v>
      </c>
      <c r="O27" s="172">
        <f t="shared" si="10"/>
        <v>1.2878937639956889</v>
      </c>
      <c r="P27" s="158">
        <f t="shared" si="11"/>
        <v>31.759689922480618</v>
      </c>
      <c r="Q27" s="83" t="str">
        <f t="shared" si="12"/>
        <v>Large</v>
      </c>
      <c r="R27" s="166">
        <f t="shared" si="13"/>
        <v>2.4214984139983294E-2</v>
      </c>
    </row>
    <row r="28" spans="1:18" ht="14">
      <c r="A28">
        <v>18</v>
      </c>
      <c r="B28" s="48" t="s">
        <v>165</v>
      </c>
      <c r="C28" s="77" t="s">
        <v>152</v>
      </c>
      <c r="D28" s="77" t="s">
        <v>13</v>
      </c>
      <c r="E28" s="78">
        <v>150</v>
      </c>
      <c r="F28" s="79">
        <v>40291</v>
      </c>
      <c r="G28" s="80">
        <v>29.48</v>
      </c>
      <c r="H28" s="173">
        <v>8877882353</v>
      </c>
      <c r="I28" s="174">
        <v>30.01</v>
      </c>
      <c r="J28" s="173">
        <v>29.09</v>
      </c>
      <c r="K28" s="39">
        <v>1.99</v>
      </c>
      <c r="L28" s="157">
        <f t="shared" si="7"/>
        <v>28</v>
      </c>
      <c r="M28" s="156">
        <f t="shared" si="8"/>
        <v>4450</v>
      </c>
      <c r="N28" s="156">
        <f t="shared" si="9"/>
        <v>4501.5</v>
      </c>
      <c r="O28" s="172">
        <f t="shared" si="10"/>
        <v>1.1573033707865169E-2</v>
      </c>
      <c r="P28" s="158">
        <f t="shared" si="11"/>
        <v>15.080402010050252</v>
      </c>
      <c r="Q28" s="83" t="str">
        <f t="shared" si="12"/>
        <v>Medium</v>
      </c>
      <c r="R28" s="166">
        <f t="shared" si="13"/>
        <v>2.6605748378358506E-2</v>
      </c>
    </row>
    <row r="29" spans="1:18" ht="14">
      <c r="A29">
        <v>19</v>
      </c>
      <c r="B29" s="48" t="s">
        <v>101</v>
      </c>
      <c r="C29" s="77" t="s">
        <v>153</v>
      </c>
      <c r="D29" s="77" t="s">
        <v>9</v>
      </c>
      <c r="E29" s="78">
        <v>50</v>
      </c>
      <c r="F29" s="79">
        <v>40291</v>
      </c>
      <c r="G29" s="80">
        <v>23.54</v>
      </c>
      <c r="H29" s="173">
        <v>8600521944</v>
      </c>
      <c r="I29" s="174">
        <v>25.21</v>
      </c>
      <c r="J29" s="173">
        <v>25.11</v>
      </c>
      <c r="K29" s="39">
        <v>0.92</v>
      </c>
      <c r="L29" s="157">
        <f t="shared" si="7"/>
        <v>11.77</v>
      </c>
      <c r="M29" s="156">
        <f t="shared" si="8"/>
        <v>1188.77</v>
      </c>
      <c r="N29" s="156">
        <f t="shared" si="9"/>
        <v>1260.5</v>
      </c>
      <c r="O29" s="172">
        <f t="shared" si="10"/>
        <v>6.0339678827695871E-2</v>
      </c>
      <c r="P29" s="158">
        <f t="shared" si="11"/>
        <v>27.402173913043477</v>
      </c>
      <c r="Q29" s="83" t="str">
        <f t="shared" si="12"/>
        <v>Medium</v>
      </c>
      <c r="R29" s="166">
        <f t="shared" si="13"/>
        <v>7.4500823794115059E-3</v>
      </c>
    </row>
    <row r="30" spans="1:18" ht="14">
      <c r="A30">
        <v>20</v>
      </c>
      <c r="B30" s="48" t="s">
        <v>102</v>
      </c>
      <c r="C30" s="77" t="s">
        <v>74</v>
      </c>
      <c r="D30" s="77" t="s">
        <v>14</v>
      </c>
      <c r="E30" s="78">
        <v>240</v>
      </c>
      <c r="F30" s="79">
        <v>40291</v>
      </c>
      <c r="G30" s="80">
        <v>10.48</v>
      </c>
      <c r="H30" s="173">
        <v>1172951869</v>
      </c>
      <c r="I30" s="174">
        <v>8.7200000000000006</v>
      </c>
      <c r="J30" s="173">
        <v>8.6999999999999993</v>
      </c>
      <c r="K30" s="39">
        <v>-2.54</v>
      </c>
      <c r="L30" s="157">
        <f t="shared" si="7"/>
        <v>25.152000000000005</v>
      </c>
      <c r="M30" s="156">
        <f t="shared" si="8"/>
        <v>2540.3520000000003</v>
      </c>
      <c r="N30" s="156">
        <f t="shared" si="9"/>
        <v>2092.8000000000002</v>
      </c>
      <c r="O30" s="172">
        <f t="shared" si="10"/>
        <v>-0.17617715970070291</v>
      </c>
      <c r="P30" s="158">
        <f t="shared" si="11"/>
        <v>0</v>
      </c>
      <c r="Q30" s="83" t="str">
        <f t="shared" si="12"/>
        <v>Small</v>
      </c>
      <c r="R30" s="166">
        <f t="shared" si="13"/>
        <v>1.2369323604627055E-2</v>
      </c>
    </row>
    <row r="31" spans="1:18" ht="14">
      <c r="A31">
        <v>21</v>
      </c>
      <c r="B31" s="48" t="s">
        <v>103</v>
      </c>
      <c r="C31" s="77" t="s">
        <v>75</v>
      </c>
      <c r="D31" s="77" t="s">
        <v>14</v>
      </c>
      <c r="E31" s="78">
        <v>250</v>
      </c>
      <c r="F31" s="79">
        <v>40291</v>
      </c>
      <c r="G31" s="80">
        <v>19.21</v>
      </c>
      <c r="H31" s="173">
        <v>34041939137</v>
      </c>
      <c r="I31" s="174">
        <v>17.25</v>
      </c>
      <c r="J31" s="173">
        <v>16.96</v>
      </c>
      <c r="K31" s="39">
        <v>1.41</v>
      </c>
      <c r="L31" s="157">
        <f t="shared" si="7"/>
        <v>28</v>
      </c>
      <c r="M31" s="156">
        <f t="shared" si="8"/>
        <v>4830.5</v>
      </c>
      <c r="N31" s="156">
        <f t="shared" si="9"/>
        <v>4312.5</v>
      </c>
      <c r="O31" s="172">
        <f t="shared" si="10"/>
        <v>-0.10723527585136114</v>
      </c>
      <c r="P31" s="158">
        <f t="shared" si="11"/>
        <v>12.23404255319149</v>
      </c>
      <c r="Q31" s="83" t="str">
        <f t="shared" si="12"/>
        <v>Large</v>
      </c>
      <c r="R31" s="166">
        <f t="shared" si="13"/>
        <v>2.5488679302825959E-2</v>
      </c>
    </row>
    <row r="32" spans="1:18" ht="14">
      <c r="A32">
        <v>22</v>
      </c>
      <c r="B32" s="48" t="s">
        <v>167</v>
      </c>
      <c r="C32" s="77" t="s">
        <v>154</v>
      </c>
      <c r="D32" s="77" t="s">
        <v>10</v>
      </c>
      <c r="E32" s="78">
        <v>150</v>
      </c>
      <c r="F32" s="79">
        <v>40291</v>
      </c>
      <c r="G32" s="80">
        <v>30.96</v>
      </c>
      <c r="H32" s="173">
        <v>502598539492</v>
      </c>
      <c r="I32" s="174">
        <v>65.5</v>
      </c>
      <c r="J32" s="173">
        <v>65.040000000000006</v>
      </c>
      <c r="K32" s="39">
        <v>2.13</v>
      </c>
      <c r="L32" s="157">
        <f t="shared" si="7"/>
        <v>28</v>
      </c>
      <c r="M32" s="156">
        <f t="shared" si="8"/>
        <v>4672</v>
      </c>
      <c r="N32" s="156">
        <f t="shared" si="9"/>
        <v>9825</v>
      </c>
      <c r="O32" s="172">
        <f t="shared" si="10"/>
        <v>1.1029537671232876</v>
      </c>
      <c r="P32" s="158">
        <f t="shared" si="11"/>
        <v>30.751173708920188</v>
      </c>
      <c r="Q32" s="83" t="str">
        <f t="shared" si="12"/>
        <v>Large</v>
      </c>
      <c r="R32" s="166">
        <f t="shared" si="13"/>
        <v>5.8069860672525231E-2</v>
      </c>
    </row>
    <row r="33" spans="1:23" ht="14">
      <c r="A33">
        <v>23</v>
      </c>
      <c r="B33" s="77" t="s">
        <v>104</v>
      </c>
      <c r="C33" s="77" t="s">
        <v>76</v>
      </c>
      <c r="D33" s="77" t="s">
        <v>8</v>
      </c>
      <c r="E33" s="78">
        <v>50</v>
      </c>
      <c r="F33" s="79">
        <v>40291</v>
      </c>
      <c r="G33" s="80">
        <v>22.61</v>
      </c>
      <c r="H33" s="173">
        <v>3412743063</v>
      </c>
      <c r="I33" s="174">
        <v>11.77</v>
      </c>
      <c r="J33" s="173">
        <v>11.96</v>
      </c>
      <c r="K33" s="39">
        <v>-3.64</v>
      </c>
      <c r="L33" s="157">
        <f t="shared" si="7"/>
        <v>11.305</v>
      </c>
      <c r="M33" s="156">
        <f t="shared" si="8"/>
        <v>1141.8050000000001</v>
      </c>
      <c r="N33" s="156">
        <f t="shared" si="9"/>
        <v>588.5</v>
      </c>
      <c r="O33" s="172">
        <f t="shared" si="10"/>
        <v>-0.48458799882641962</v>
      </c>
      <c r="P33" s="158">
        <f t="shared" si="11"/>
        <v>0</v>
      </c>
      <c r="Q33" s="83" t="str">
        <f t="shared" si="12"/>
        <v>Small</v>
      </c>
      <c r="R33" s="166">
        <f t="shared" si="13"/>
        <v>3.4782812219624525E-3</v>
      </c>
    </row>
    <row r="34" spans="1:23" ht="14">
      <c r="A34">
        <v>24</v>
      </c>
      <c r="B34" s="77" t="s">
        <v>105</v>
      </c>
      <c r="C34" s="77" t="s">
        <v>77</v>
      </c>
      <c r="D34" s="77" t="s">
        <v>10</v>
      </c>
      <c r="E34" s="78">
        <v>200</v>
      </c>
      <c r="F34" s="79">
        <v>40291</v>
      </c>
      <c r="G34" s="80">
        <v>14.32</v>
      </c>
      <c r="H34" s="173">
        <v>4504830000</v>
      </c>
      <c r="I34" s="174">
        <v>35.89</v>
      </c>
      <c r="J34" s="173">
        <v>36.299999999999997</v>
      </c>
      <c r="K34" s="39">
        <v>1.49</v>
      </c>
      <c r="L34" s="157">
        <f t="shared" si="7"/>
        <v>28</v>
      </c>
      <c r="M34" s="156">
        <f t="shared" si="8"/>
        <v>2892</v>
      </c>
      <c r="N34" s="156">
        <f t="shared" si="9"/>
        <v>7178</v>
      </c>
      <c r="O34" s="172">
        <f t="shared" si="10"/>
        <v>1.4820193637621024</v>
      </c>
      <c r="P34" s="158">
        <f t="shared" si="11"/>
        <v>24.087248322147651</v>
      </c>
      <c r="Q34" s="83" t="str">
        <f t="shared" si="12"/>
        <v>Small</v>
      </c>
      <c r="R34" s="166">
        <f t="shared" si="13"/>
        <v>4.2424983196680519E-2</v>
      </c>
    </row>
    <row r="35" spans="1:23" ht="14">
      <c r="A35">
        <v>25</v>
      </c>
      <c r="B35" s="77" t="s">
        <v>106</v>
      </c>
      <c r="C35" s="77" t="s">
        <v>155</v>
      </c>
      <c r="D35" s="77" t="s">
        <v>8</v>
      </c>
      <c r="E35" s="78">
        <v>100</v>
      </c>
      <c r="F35" s="79">
        <v>40291</v>
      </c>
      <c r="G35" s="80">
        <v>43.63</v>
      </c>
      <c r="H35" s="173">
        <v>1279686860</v>
      </c>
      <c r="I35" s="174">
        <v>5.31</v>
      </c>
      <c r="J35" s="173">
        <v>5.23</v>
      </c>
      <c r="K35" s="39">
        <v>-3.82</v>
      </c>
      <c r="L35" s="157">
        <f t="shared" si="7"/>
        <v>28</v>
      </c>
      <c r="M35" s="156">
        <f t="shared" si="8"/>
        <v>4391</v>
      </c>
      <c r="N35" s="156">
        <f t="shared" si="9"/>
        <v>531</v>
      </c>
      <c r="O35" s="172">
        <f t="shared" si="10"/>
        <v>-0.87907082669095882</v>
      </c>
      <c r="P35" s="158">
        <f t="shared" si="11"/>
        <v>0</v>
      </c>
      <c r="Q35" s="83" t="str">
        <f t="shared" si="12"/>
        <v>Small</v>
      </c>
      <c r="R35" s="166">
        <f t="shared" si="13"/>
        <v>3.1384321645914399E-3</v>
      </c>
    </row>
    <row r="36" spans="1:23" ht="14">
      <c r="A36">
        <v>26</v>
      </c>
      <c r="B36" s="77" t="s">
        <v>107</v>
      </c>
      <c r="C36" s="77" t="s">
        <v>78</v>
      </c>
      <c r="D36" s="77" t="s">
        <v>14</v>
      </c>
      <c r="E36" s="78">
        <v>10</v>
      </c>
      <c r="F36" s="79">
        <v>40291</v>
      </c>
      <c r="G36" s="80">
        <v>20.86</v>
      </c>
      <c r="H36" s="173">
        <v>22579661595</v>
      </c>
      <c r="I36" s="174">
        <v>39.409999999999997</v>
      </c>
      <c r="J36" s="173">
        <v>38.869999999999997</v>
      </c>
      <c r="K36" s="39">
        <v>1.76</v>
      </c>
      <c r="L36" s="157">
        <f t="shared" si="7"/>
        <v>2.0859999999999999</v>
      </c>
      <c r="M36" s="156">
        <f t="shared" si="8"/>
        <v>210.68600000000001</v>
      </c>
      <c r="N36" s="156">
        <f t="shared" si="9"/>
        <v>394.09999999999997</v>
      </c>
      <c r="O36" s="172">
        <f t="shared" si="10"/>
        <v>0.87055618313509175</v>
      </c>
      <c r="P36" s="158">
        <f t="shared" si="11"/>
        <v>22.392045454545453</v>
      </c>
      <c r="Q36" s="83" t="str">
        <f t="shared" si="12"/>
        <v>Large</v>
      </c>
      <c r="R36" s="166">
        <f t="shared" si="13"/>
        <v>2.3292958871289761E-3</v>
      </c>
    </row>
    <row r="37" spans="1:23" ht="14">
      <c r="A37">
        <v>27</v>
      </c>
      <c r="B37" s="77" t="s">
        <v>108</v>
      </c>
      <c r="C37" s="77" t="s">
        <v>156</v>
      </c>
      <c r="D37" s="77" t="s">
        <v>13</v>
      </c>
      <c r="E37" s="78">
        <v>150</v>
      </c>
      <c r="F37" s="79">
        <v>40291</v>
      </c>
      <c r="G37" s="80">
        <v>48.01</v>
      </c>
      <c r="H37" s="173">
        <v>49645861156</v>
      </c>
      <c r="I37" s="174">
        <v>78.17</v>
      </c>
      <c r="J37" s="173">
        <v>76.900000000000006</v>
      </c>
      <c r="K37" s="39">
        <v>3.46</v>
      </c>
      <c r="L37" s="157">
        <f t="shared" si="7"/>
        <v>28</v>
      </c>
      <c r="M37" s="156">
        <f t="shared" si="8"/>
        <v>7229.5</v>
      </c>
      <c r="N37" s="156">
        <f t="shared" si="9"/>
        <v>11725.5</v>
      </c>
      <c r="O37" s="172">
        <f t="shared" si="10"/>
        <v>0.62189639670793273</v>
      </c>
      <c r="P37" s="158">
        <f t="shared" si="11"/>
        <v>22.592485549132949</v>
      </c>
      <c r="Q37" s="83" t="str">
        <f t="shared" si="12"/>
        <v>Large</v>
      </c>
      <c r="R37" s="166">
        <f t="shared" si="13"/>
        <v>6.9302610820935834E-2</v>
      </c>
    </row>
    <row r="38" spans="1:23" ht="14">
      <c r="A38">
        <v>28</v>
      </c>
      <c r="B38" s="77" t="s">
        <v>109</v>
      </c>
      <c r="C38" s="77" t="s">
        <v>157</v>
      </c>
      <c r="D38" s="77" t="s">
        <v>13</v>
      </c>
      <c r="E38" s="78">
        <v>100</v>
      </c>
      <c r="F38" s="79">
        <v>40291</v>
      </c>
      <c r="G38" s="80">
        <v>56.53</v>
      </c>
      <c r="H38" s="173">
        <v>224654982481</v>
      </c>
      <c r="I38" s="174">
        <v>74.8</v>
      </c>
      <c r="J38" s="173">
        <v>74.069999999999993</v>
      </c>
      <c r="K38" s="39">
        <v>4.38</v>
      </c>
      <c r="L38" s="157">
        <f t="shared" si="7"/>
        <v>28</v>
      </c>
      <c r="M38" s="156">
        <f t="shared" si="8"/>
        <v>5681</v>
      </c>
      <c r="N38" s="156">
        <f t="shared" si="9"/>
        <v>7480</v>
      </c>
      <c r="O38" s="172">
        <f t="shared" si="10"/>
        <v>0.31666960042246084</v>
      </c>
      <c r="P38" s="158">
        <f t="shared" si="11"/>
        <v>17.077625570776256</v>
      </c>
      <c r="Q38" s="83" t="str">
        <f t="shared" si="12"/>
        <v>Large</v>
      </c>
      <c r="R38" s="166">
        <f t="shared" si="13"/>
        <v>4.4209929550176968E-2</v>
      </c>
    </row>
    <row r="39" spans="1:23" ht="14">
      <c r="A39">
        <v>29</v>
      </c>
      <c r="B39" s="77" t="s">
        <v>110</v>
      </c>
      <c r="C39" s="77" t="s">
        <v>79</v>
      </c>
      <c r="D39" s="77" t="s">
        <v>15</v>
      </c>
      <c r="E39" s="78">
        <v>50</v>
      </c>
      <c r="F39" s="79">
        <v>40291</v>
      </c>
      <c r="G39" s="80">
        <v>59.24</v>
      </c>
      <c r="H39" s="173">
        <v>4953343427</v>
      </c>
      <c r="I39" s="174">
        <v>30.51</v>
      </c>
      <c r="J39" s="173">
        <v>28.42</v>
      </c>
      <c r="K39" s="39">
        <v>-2.81</v>
      </c>
      <c r="L39" s="157">
        <f t="shared" si="7"/>
        <v>28</v>
      </c>
      <c r="M39" s="156">
        <f t="shared" si="8"/>
        <v>2990</v>
      </c>
      <c r="N39" s="156">
        <f t="shared" si="9"/>
        <v>1525.5</v>
      </c>
      <c r="O39" s="172">
        <f t="shared" si="10"/>
        <v>-0.4897993311036789</v>
      </c>
      <c r="P39" s="158">
        <f t="shared" si="11"/>
        <v>0</v>
      </c>
      <c r="Q39" s="83" t="str">
        <f t="shared" si="12"/>
        <v>Small</v>
      </c>
      <c r="R39" s="166">
        <f t="shared" si="13"/>
        <v>9.0163432525126961E-3</v>
      </c>
    </row>
    <row r="40" spans="1:23" ht="14">
      <c r="A40">
        <v>30</v>
      </c>
      <c r="B40" s="77" t="s">
        <v>50</v>
      </c>
      <c r="C40" s="77" t="s">
        <v>158</v>
      </c>
      <c r="D40" s="77" t="s">
        <v>11</v>
      </c>
      <c r="E40" s="78">
        <v>50</v>
      </c>
      <c r="F40" s="79">
        <v>40291</v>
      </c>
      <c r="G40" s="80">
        <v>13.11</v>
      </c>
      <c r="H40" s="173">
        <v>50166800</v>
      </c>
      <c r="I40" s="174">
        <v>2.74</v>
      </c>
      <c r="J40" s="173">
        <v>2.76</v>
      </c>
      <c r="K40" s="39">
        <v>-89.3</v>
      </c>
      <c r="L40" s="157">
        <f t="shared" si="7"/>
        <v>6.5549999999999997</v>
      </c>
      <c r="M40" s="156">
        <f t="shared" si="8"/>
        <v>662.05499999999995</v>
      </c>
      <c r="N40" s="156">
        <f t="shared" si="9"/>
        <v>137</v>
      </c>
      <c r="O40" s="172">
        <f t="shared" si="10"/>
        <v>-0.7930685517064292</v>
      </c>
      <c r="P40" s="158">
        <f t="shared" si="11"/>
        <v>0</v>
      </c>
      <c r="Q40" s="83" t="str">
        <f t="shared" si="12"/>
        <v>Small</v>
      </c>
      <c r="R40" s="166">
        <f t="shared" si="13"/>
        <v>8.0972731930136963E-4</v>
      </c>
    </row>
    <row r="41" spans="1:23" ht="14">
      <c r="A41">
        <v>31</v>
      </c>
      <c r="B41" s="77" t="s">
        <v>124</v>
      </c>
      <c r="C41" s="77" t="s">
        <v>125</v>
      </c>
      <c r="D41" s="77" t="s">
        <v>10</v>
      </c>
      <c r="E41" s="78">
        <v>50</v>
      </c>
      <c r="F41" s="79">
        <v>40291</v>
      </c>
      <c r="G41" s="80">
        <v>17.64</v>
      </c>
      <c r="H41" s="173">
        <v>44954899199</v>
      </c>
      <c r="I41" s="174">
        <v>47.67</v>
      </c>
      <c r="J41" s="173">
        <v>47</v>
      </c>
      <c r="K41" s="39">
        <v>-0.23</v>
      </c>
      <c r="L41" s="157">
        <f t="shared" ref="L41" si="14">IF((E41*G41*0.01)&gt;28,28,(E41*G41*0.01))</f>
        <v>8.82</v>
      </c>
      <c r="M41" s="156">
        <f t="shared" ref="M41" si="15">G41*E41+L41</f>
        <v>890.82</v>
      </c>
      <c r="N41" s="156">
        <f t="shared" ref="N41" si="16">I41*E41</f>
        <v>2383.5</v>
      </c>
      <c r="O41" s="172">
        <f t="shared" ref="O41" si="17">(N41-M41)/M41</f>
        <v>1.6756247053276754</v>
      </c>
      <c r="P41" s="158">
        <f t="shared" ref="P41" si="18">IF(K41&lt;=0,0,(I41/K41))</f>
        <v>0</v>
      </c>
      <c r="Q41" s="83" t="str">
        <f t="shared" ref="Q41" si="19">IF(H41&gt;10000000000,"Large",IF(AND(H41&gt;=5000000000,H41&lt;=10000000000),"Medium",IF(H41&lt;5000000000,"Small","N/A")))</f>
        <v>Large</v>
      </c>
      <c r="R41" s="166">
        <f t="shared" si="13"/>
        <v>1.4087482230327112E-2</v>
      </c>
      <c r="W41" s="155"/>
    </row>
    <row r="42" spans="1:23">
      <c r="B42"/>
      <c r="C42"/>
      <c r="D42"/>
      <c r="E42"/>
      <c r="F42"/>
      <c r="G42" s="23"/>
      <c r="H42"/>
      <c r="I42"/>
      <c r="J42" s="23"/>
      <c r="K42" s="23"/>
      <c r="L42" s="71"/>
      <c r="M42" s="24"/>
      <c r="N42" s="24"/>
      <c r="O42" s="91"/>
      <c r="P42" s="23"/>
      <c r="Q42"/>
      <c r="R42" s="23"/>
    </row>
    <row r="43" spans="1:23">
      <c r="B43"/>
      <c r="C43"/>
      <c r="D43"/>
      <c r="E43"/>
      <c r="F43"/>
      <c r="G43" s="23"/>
      <c r="H43"/>
      <c r="I43"/>
      <c r="J43" s="23"/>
      <c r="K43" s="23"/>
      <c r="L43"/>
      <c r="M43"/>
      <c r="N43"/>
      <c r="O43" s="23"/>
      <c r="P43" s="23"/>
      <c r="Q43"/>
      <c r="R43" s="23"/>
    </row>
    <row r="44" spans="1:23">
      <c r="B44" s="136" t="s">
        <v>190</v>
      </c>
      <c r="C44"/>
      <c r="D44"/>
      <c r="E44"/>
      <c r="F44"/>
      <c r="G44" s="23"/>
      <c r="H44"/>
      <c r="I44"/>
      <c r="J44" s="23"/>
      <c r="K44" s="23"/>
      <c r="L44"/>
      <c r="M44"/>
      <c r="N44"/>
      <c r="O44" s="23"/>
      <c r="P44" s="23"/>
      <c r="Q44"/>
      <c r="R44" s="23"/>
    </row>
    <row r="45" spans="1:23" ht="16">
      <c r="A45" s="72"/>
      <c r="B45" s="31" t="s">
        <v>27</v>
      </c>
      <c r="C45" s="32"/>
      <c r="D45"/>
      <c r="E45"/>
      <c r="F45"/>
      <c r="G45" s="23"/>
      <c r="H45"/>
      <c r="I45"/>
      <c r="J45" s="23"/>
      <c r="K45" s="23"/>
      <c r="L45"/>
      <c r="M45"/>
      <c r="N45"/>
      <c r="O45" s="23"/>
      <c r="P45" s="23"/>
      <c r="Q45"/>
      <c r="R45" s="23"/>
    </row>
    <row r="46" spans="1:23">
      <c r="A46" s="73" t="s">
        <v>143</v>
      </c>
      <c r="B46" s="138" t="s">
        <v>28</v>
      </c>
      <c r="C46" s="139" t="s">
        <v>28</v>
      </c>
      <c r="D46"/>
      <c r="E46"/>
      <c r="F46"/>
      <c r="G46" s="23"/>
      <c r="H46"/>
      <c r="I46"/>
      <c r="J46" s="23"/>
      <c r="K46" s="23"/>
      <c r="L46"/>
      <c r="M46"/>
      <c r="N46"/>
      <c r="O46" s="171">
        <f>((SUM(N11:N41)-SUM(M11:M41))/SUM(M11:M41))</f>
        <v>0.29893658374748755</v>
      </c>
      <c r="P46" s="23"/>
      <c r="Q46"/>
      <c r="R46" s="23"/>
    </row>
    <row r="47" spans="1:23">
      <c r="A47" s="73" t="s">
        <v>141</v>
      </c>
      <c r="B47" s="33" t="s">
        <v>29</v>
      </c>
      <c r="C47" s="134" t="s">
        <v>29</v>
      </c>
      <c r="D47"/>
      <c r="E47"/>
      <c r="F47"/>
      <c r="G47" s="160">
        <f>AVERAGE(G11:G41)</f>
        <v>42.089032258064513</v>
      </c>
      <c r="H47"/>
      <c r="I47"/>
      <c r="J47" s="23"/>
      <c r="K47" s="23"/>
      <c r="L47"/>
      <c r="M47"/>
      <c r="N47" s="160">
        <f>AVERAGE(N11:N41)</f>
        <v>5457.8309677419356</v>
      </c>
      <c r="O47" s="163">
        <f>AVERAGE(O11:O41)</f>
        <v>0.36274926903614402</v>
      </c>
      <c r="P47" s="137">
        <f>AVERAGE(P11:P41)</f>
        <v>19.873528105364915</v>
      </c>
      <c r="Q47"/>
      <c r="R47" s="23"/>
    </row>
    <row r="48" spans="1:23">
      <c r="A48" s="73" t="s">
        <v>142</v>
      </c>
      <c r="B48" s="140" t="s">
        <v>30</v>
      </c>
      <c r="C48" s="141" t="s">
        <v>30</v>
      </c>
      <c r="D48"/>
      <c r="E48"/>
      <c r="F48"/>
      <c r="G48" s="161">
        <f>MAX(G11:G41)</f>
        <v>126.99</v>
      </c>
      <c r="H48"/>
      <c r="I48"/>
      <c r="J48" s="161">
        <f>MAX(J11:J41)</f>
        <v>164.4</v>
      </c>
      <c r="K48" s="161">
        <f>MAX(K11:K41)</f>
        <v>12.38</v>
      </c>
      <c r="L48" s="49"/>
      <c r="M48" s="49"/>
      <c r="N48" s="161">
        <f>MAX(N11:N41)</f>
        <v>16272</v>
      </c>
      <c r="O48" s="164">
        <f>MAX(O11:O41)</f>
        <v>1.6756247053276754</v>
      </c>
      <c r="P48" s="142">
        <f>MAX(P11:P41)</f>
        <v>110.02702702702703</v>
      </c>
      <c r="Q48"/>
      <c r="R48" s="143">
        <f>MAX(R11:R41)</f>
        <v>9.6174328026802092E-2</v>
      </c>
    </row>
    <row r="49" spans="1:19">
      <c r="B49" s="144" t="s">
        <v>31</v>
      </c>
      <c r="C49" s="145" t="s">
        <v>184</v>
      </c>
      <c r="D49"/>
      <c r="E49"/>
      <c r="F49"/>
      <c r="G49" s="162">
        <f>MIN(G11:G41)</f>
        <v>10.48</v>
      </c>
      <c r="H49"/>
      <c r="I49"/>
      <c r="J49" s="162">
        <f>MIN(J11:J41)</f>
        <v>2.76</v>
      </c>
      <c r="K49" s="162">
        <f>MIN(K11:K41)</f>
        <v>-89.3</v>
      </c>
      <c r="L49" s="49"/>
      <c r="M49" s="49"/>
      <c r="N49" s="162">
        <f>MIN(N11:N41)</f>
        <v>137</v>
      </c>
      <c r="O49" s="165">
        <f>MIN(O11:O41)</f>
        <v>-0.87907082669095882</v>
      </c>
      <c r="P49" s="147">
        <f>MIN(P11:P41)</f>
        <v>0</v>
      </c>
      <c r="Q49"/>
      <c r="R49" s="146">
        <f>MIN(R11:R41)</f>
        <v>8.0972731930136963E-4</v>
      </c>
    </row>
    <row r="50" spans="1:19">
      <c r="B50"/>
      <c r="C50"/>
      <c r="D50"/>
      <c r="E50"/>
      <c r="F50"/>
      <c r="G50"/>
      <c r="H50" s="82" t="s">
        <v>43</v>
      </c>
      <c r="I50"/>
      <c r="J50"/>
      <c r="K50"/>
      <c r="L50"/>
      <c r="M50"/>
      <c r="N50"/>
      <c r="O50"/>
      <c r="P50"/>
      <c r="Q50"/>
      <c r="R50"/>
    </row>
    <row r="51" spans="1:19">
      <c r="A51" s="49"/>
      <c r="B51" s="49"/>
      <c r="C51" s="49"/>
      <c r="D51" s="49"/>
      <c r="E51" s="49"/>
      <c r="F51" s="49"/>
      <c r="G51" s="49"/>
      <c r="H51" s="49"/>
      <c r="I51" s="49"/>
      <c r="J51" s="49"/>
      <c r="K51" s="49"/>
      <c r="L51" s="49"/>
      <c r="M51" s="49"/>
      <c r="N51" s="49"/>
      <c r="O51" s="49"/>
      <c r="P51" s="49"/>
      <c r="Q51" s="49"/>
      <c r="R51" s="49"/>
      <c r="S51" s="49"/>
    </row>
    <row r="52" spans="1:19">
      <c r="A52" s="49"/>
      <c r="B52" s="49"/>
      <c r="C52" s="49"/>
      <c r="D52" s="49"/>
      <c r="E52" s="49"/>
      <c r="F52" s="49"/>
      <c r="G52" s="49"/>
      <c r="H52" s="49"/>
      <c r="I52" s="49"/>
      <c r="J52" s="49"/>
      <c r="K52" s="49"/>
      <c r="L52" s="49"/>
      <c r="M52" s="49"/>
      <c r="N52" s="49"/>
      <c r="O52" s="49"/>
      <c r="P52" s="49"/>
      <c r="Q52" s="49"/>
      <c r="R52" s="49"/>
      <c r="S52" s="49"/>
    </row>
    <row r="53" spans="1:19" ht="28">
      <c r="A53" s="49"/>
      <c r="B53" s="322"/>
      <c r="C53" s="322" t="s">
        <v>452</v>
      </c>
      <c r="D53" s="203"/>
      <c r="E53" s="203"/>
      <c r="F53" s="203"/>
      <c r="G53" s="203"/>
      <c r="H53" s="203"/>
      <c r="I53" s="203"/>
      <c r="J53" s="203"/>
      <c r="K53" s="203"/>
      <c r="L53" s="203"/>
      <c r="M53" s="203"/>
      <c r="N53" s="203"/>
      <c r="O53" s="203"/>
      <c r="P53" s="203"/>
      <c r="Q53" s="203"/>
      <c r="R53" s="203"/>
      <c r="S53" s="49"/>
    </row>
    <row r="54" spans="1:19">
      <c r="A54" s="49"/>
      <c r="B54" s="150"/>
      <c r="C54" s="150"/>
      <c r="D54" s="240"/>
      <c r="E54" s="150"/>
      <c r="G54" s="243"/>
      <c r="H54" s="206"/>
      <c r="I54" s="206"/>
      <c r="J54" s="206"/>
      <c r="K54" s="207"/>
      <c r="L54" s="237"/>
      <c r="M54" s="208"/>
      <c r="N54" s="208"/>
      <c r="O54" s="209"/>
      <c r="P54" s="238"/>
      <c r="Q54" s="203"/>
      <c r="R54" s="239"/>
      <c r="S54" s="49"/>
    </row>
    <row r="55" spans="1:19">
      <c r="A55" s="49"/>
      <c r="B55" s="214"/>
      <c r="C55" s="6"/>
      <c r="D55" s="150"/>
      <c r="E55" s="7"/>
      <c r="F55" s="215"/>
      <c r="G55" s="9"/>
      <c r="H55" s="233"/>
      <c r="I55" s="207"/>
      <c r="J55" s="207"/>
      <c r="K55" s="207"/>
      <c r="L55" s="237"/>
      <c r="M55" s="208"/>
      <c r="N55" s="208"/>
      <c r="O55" s="209"/>
      <c r="P55" s="238"/>
      <c r="Q55" s="203"/>
      <c r="R55" s="239"/>
      <c r="S55" s="49"/>
    </row>
    <row r="56" spans="1:19">
      <c r="A56" s="49"/>
      <c r="B56" s="214"/>
      <c r="C56" s="6"/>
      <c r="D56" s="6"/>
      <c r="E56" s="7"/>
      <c r="F56" s="215"/>
      <c r="G56" s="9"/>
      <c r="H56" s="206"/>
      <c r="I56" s="206"/>
      <c r="J56" s="206"/>
      <c r="K56" s="207"/>
      <c r="L56" s="237"/>
      <c r="M56" s="208"/>
      <c r="N56" s="208"/>
      <c r="O56" s="209"/>
      <c r="P56" s="238"/>
      <c r="Q56" s="203"/>
      <c r="R56" s="239"/>
      <c r="S56" s="49"/>
    </row>
    <row r="57" spans="1:19">
      <c r="A57" s="49"/>
      <c r="B57" s="214"/>
      <c r="C57" s="6"/>
      <c r="D57" s="6"/>
      <c r="E57" s="7"/>
      <c r="F57" s="215"/>
      <c r="G57" s="9"/>
      <c r="H57" s="206"/>
      <c r="I57" s="206"/>
      <c r="J57" s="206"/>
      <c r="K57" s="207"/>
      <c r="L57" s="237"/>
      <c r="M57" s="208"/>
      <c r="N57" s="208"/>
      <c r="O57" s="209"/>
      <c r="P57" s="238"/>
      <c r="Q57" s="203"/>
      <c r="R57" s="239"/>
      <c r="S57" s="49"/>
    </row>
    <row r="58" spans="1:19">
      <c r="A58" s="49"/>
      <c r="B58" s="214"/>
      <c r="C58" s="6"/>
      <c r="D58" s="6"/>
      <c r="E58" s="7"/>
      <c r="F58" s="215"/>
      <c r="G58" s="9"/>
      <c r="H58" s="206"/>
      <c r="I58" s="206"/>
      <c r="J58" s="206"/>
      <c r="K58" s="207"/>
      <c r="L58" s="237"/>
      <c r="M58" s="208"/>
      <c r="N58" s="208"/>
      <c r="O58" s="209"/>
      <c r="P58" s="238"/>
      <c r="Q58" s="203"/>
      <c r="R58" s="239"/>
      <c r="S58" s="49"/>
    </row>
    <row r="59" spans="1:19">
      <c r="A59" s="49"/>
      <c r="B59" s="214"/>
      <c r="C59" s="6"/>
      <c r="D59" s="6"/>
      <c r="E59" s="7"/>
      <c r="F59" s="215"/>
      <c r="G59" s="9"/>
      <c r="H59" s="206"/>
      <c r="I59" s="206"/>
      <c r="J59" s="206"/>
      <c r="K59" s="207"/>
      <c r="L59" s="237"/>
      <c r="M59" s="208"/>
      <c r="N59" s="208"/>
      <c r="O59" s="209"/>
      <c r="P59" s="238"/>
      <c r="Q59" s="203"/>
      <c r="R59" s="239"/>
      <c r="S59" s="49"/>
    </row>
    <row r="60" spans="1:19">
      <c r="A60" s="49"/>
      <c r="B60" s="214"/>
      <c r="C60" s="6"/>
      <c r="D60" s="6"/>
      <c r="E60" s="7"/>
      <c r="F60" s="215"/>
      <c r="G60" s="9"/>
      <c r="H60" s="206"/>
      <c r="I60" s="206"/>
      <c r="J60" s="206"/>
      <c r="K60" s="207"/>
      <c r="L60" s="237"/>
      <c r="M60" s="208"/>
      <c r="N60" s="208"/>
      <c r="O60" s="209"/>
      <c r="P60" s="238"/>
      <c r="Q60" s="203"/>
      <c r="R60" s="239"/>
      <c r="S60" s="49"/>
    </row>
    <row r="61" spans="1:19">
      <c r="A61" s="49"/>
      <c r="B61" s="49"/>
      <c r="C61" s="202"/>
      <c r="D61" s="6"/>
      <c r="E61" s="7"/>
      <c r="F61" s="215"/>
      <c r="G61" s="9"/>
      <c r="H61" s="206"/>
      <c r="I61" s="206"/>
      <c r="J61" s="206"/>
      <c r="K61" s="207"/>
      <c r="L61" s="237"/>
      <c r="M61" s="208"/>
      <c r="N61" s="208"/>
      <c r="O61" s="209"/>
      <c r="P61" s="238"/>
      <c r="Q61" s="203"/>
      <c r="R61" s="239"/>
      <c r="S61" s="49"/>
    </row>
    <row r="62" spans="1:19">
      <c r="A62" s="49"/>
      <c r="B62" s="214"/>
      <c r="C62" s="236"/>
      <c r="D62" s="150"/>
      <c r="E62" s="49"/>
      <c r="F62" s="216"/>
      <c r="G62" s="217"/>
      <c r="H62" s="206"/>
      <c r="I62" s="206"/>
      <c r="J62" s="206"/>
      <c r="K62" s="207"/>
      <c r="L62" s="237"/>
      <c r="M62" s="208"/>
      <c r="N62" s="208"/>
      <c r="O62" s="209"/>
      <c r="P62" s="238"/>
      <c r="Q62" s="203"/>
      <c r="R62" s="239"/>
      <c r="S62" s="49"/>
    </row>
    <row r="63" spans="1:19">
      <c r="A63" s="49"/>
      <c r="B63" s="214"/>
      <c r="C63" s="6"/>
      <c r="D63" s="6"/>
      <c r="E63" s="7"/>
      <c r="F63" s="215"/>
      <c r="G63" s="9"/>
      <c r="H63" s="206"/>
      <c r="I63" s="206"/>
      <c r="J63" s="206"/>
      <c r="K63" s="207"/>
      <c r="L63" s="237"/>
      <c r="M63" s="208"/>
      <c r="N63" s="208"/>
      <c r="O63" s="209"/>
      <c r="P63" s="238"/>
      <c r="Q63" s="203"/>
      <c r="R63" s="239"/>
      <c r="S63" s="49"/>
    </row>
    <row r="64" spans="1:19">
      <c r="A64" s="49"/>
      <c r="B64" s="214"/>
      <c r="C64" s="236"/>
      <c r="D64" s="6"/>
      <c r="E64" s="7"/>
      <c r="F64" s="215"/>
      <c r="G64" s="9"/>
      <c r="H64" s="206"/>
      <c r="I64" s="206"/>
      <c r="J64" s="206"/>
      <c r="K64" s="207"/>
      <c r="L64" s="237"/>
      <c r="M64" s="208"/>
      <c r="N64" s="208"/>
      <c r="O64" s="209"/>
      <c r="P64" s="238"/>
      <c r="Q64" s="203"/>
      <c r="R64" s="239"/>
      <c r="S64" s="49"/>
    </row>
    <row r="65" spans="1:19">
      <c r="A65" s="49"/>
      <c r="B65" s="214"/>
      <c r="C65" s="6"/>
      <c r="D65" s="6"/>
      <c r="E65" s="7"/>
      <c r="F65" s="215"/>
      <c r="G65" s="9"/>
      <c r="H65" s="206"/>
      <c r="I65" s="206"/>
      <c r="J65" s="206"/>
      <c r="K65" s="207"/>
      <c r="L65" s="237"/>
      <c r="M65" s="208"/>
      <c r="N65" s="208"/>
      <c r="O65" s="209"/>
      <c r="P65" s="238"/>
      <c r="Q65" s="203"/>
      <c r="R65" s="239"/>
      <c r="S65" s="49"/>
    </row>
    <row r="66" spans="1:19">
      <c r="A66" s="49"/>
      <c r="B66" s="214"/>
      <c r="C66" s="6"/>
      <c r="D66" s="6"/>
      <c r="E66" s="7"/>
      <c r="F66" s="215"/>
      <c r="G66" s="9"/>
      <c r="H66" s="206"/>
      <c r="I66" s="206"/>
      <c r="J66" s="206"/>
      <c r="K66" s="207"/>
      <c r="L66" s="237"/>
      <c r="M66" s="208"/>
      <c r="N66" s="208"/>
      <c r="O66" s="209"/>
      <c r="P66" s="238"/>
      <c r="Q66" s="203"/>
      <c r="R66" s="239"/>
      <c r="S66" s="49"/>
    </row>
    <row r="67" spans="1:19">
      <c r="A67" s="49"/>
      <c r="B67" s="214"/>
      <c r="C67" s="6"/>
      <c r="D67" s="6"/>
      <c r="E67" s="7"/>
      <c r="F67" s="215"/>
      <c r="G67" s="9"/>
      <c r="H67" s="206"/>
      <c r="I67" s="206"/>
      <c r="J67" s="206"/>
      <c r="K67" s="207"/>
      <c r="L67" s="237"/>
      <c r="M67" s="208"/>
      <c r="N67" s="208"/>
      <c r="O67" s="209"/>
      <c r="P67" s="238"/>
      <c r="Q67" s="203"/>
      <c r="R67" s="239"/>
      <c r="S67" s="49"/>
    </row>
    <row r="68" spans="1:19">
      <c r="A68" s="49"/>
      <c r="B68" s="214"/>
      <c r="C68" s="6"/>
      <c r="D68" s="6"/>
      <c r="E68" s="7"/>
      <c r="F68" s="215"/>
      <c r="G68" s="9"/>
      <c r="H68" s="206"/>
      <c r="I68" s="206"/>
      <c r="J68" s="206"/>
      <c r="K68" s="207"/>
      <c r="L68" s="237"/>
      <c r="M68" s="208"/>
      <c r="N68" s="208"/>
      <c r="O68" s="209"/>
      <c r="P68" s="238"/>
      <c r="Q68" s="203"/>
      <c r="R68" s="239"/>
      <c r="S68" s="49"/>
    </row>
    <row r="69" spans="1:19">
      <c r="A69" s="49"/>
      <c r="B69" s="214"/>
      <c r="C69" s="6"/>
      <c r="D69" s="6"/>
      <c r="E69" s="7"/>
      <c r="F69" s="215"/>
      <c r="G69" s="9"/>
      <c r="H69" s="206"/>
      <c r="I69" s="206"/>
      <c r="J69" s="206"/>
      <c r="K69" s="207"/>
      <c r="L69" s="237"/>
      <c r="M69" s="208"/>
      <c r="N69" s="208"/>
      <c r="O69" s="209"/>
      <c r="P69" s="238"/>
      <c r="Q69" s="203"/>
      <c r="R69" s="239"/>
      <c r="S69" s="49"/>
    </row>
    <row r="70" spans="1:19">
      <c r="A70" s="49"/>
      <c r="B70" s="214"/>
      <c r="C70" s="6"/>
      <c r="D70" s="6"/>
      <c r="E70" s="7"/>
      <c r="F70" s="215"/>
      <c r="G70" s="9"/>
      <c r="H70" s="206"/>
      <c r="I70" s="206"/>
      <c r="J70" s="206"/>
      <c r="K70" s="207"/>
      <c r="L70" s="237"/>
      <c r="M70" s="208"/>
      <c r="N70" s="208"/>
      <c r="O70" s="209"/>
      <c r="P70" s="238"/>
      <c r="Q70" s="203"/>
      <c r="R70" s="239"/>
      <c r="S70" s="49"/>
    </row>
    <row r="71" spans="1:19">
      <c r="A71" s="49"/>
      <c r="B71" s="214"/>
      <c r="C71" s="6"/>
      <c r="D71" s="6"/>
      <c r="E71" s="7"/>
      <c r="F71" s="215"/>
      <c r="G71" s="9"/>
      <c r="H71" s="206"/>
      <c r="I71" s="206"/>
      <c r="J71" s="206"/>
      <c r="K71" s="207"/>
      <c r="L71" s="237"/>
      <c r="M71" s="208"/>
      <c r="N71" s="208"/>
      <c r="O71" s="209"/>
      <c r="P71" s="238"/>
      <c r="Q71" s="203"/>
      <c r="R71" s="239"/>
      <c r="S71" s="49"/>
    </row>
    <row r="72" spans="1:19">
      <c r="A72" s="49"/>
      <c r="B72" s="214"/>
      <c r="C72" s="6"/>
      <c r="D72" s="6"/>
      <c r="E72" s="7"/>
      <c r="F72" s="215"/>
      <c r="G72" s="9"/>
      <c r="H72" s="206"/>
      <c r="I72" s="206"/>
      <c r="J72" s="206"/>
      <c r="K72" s="207"/>
      <c r="L72" s="237"/>
      <c r="M72" s="208"/>
      <c r="N72" s="208"/>
      <c r="O72" s="209"/>
      <c r="P72" s="238"/>
      <c r="Q72" s="203"/>
      <c r="R72" s="239"/>
      <c r="S72" s="49"/>
    </row>
    <row r="73" spans="1:19">
      <c r="A73" s="49"/>
      <c r="B73" s="214"/>
      <c r="C73" s="6"/>
      <c r="D73" s="6"/>
      <c r="E73" s="7"/>
      <c r="F73" s="215"/>
      <c r="G73" s="9"/>
      <c r="H73" s="206"/>
      <c r="I73" s="206"/>
      <c r="J73" s="206"/>
      <c r="K73" s="207"/>
      <c r="L73" s="237"/>
      <c r="M73" s="208"/>
      <c r="N73" s="208"/>
      <c r="O73" s="209"/>
      <c r="P73" s="238"/>
      <c r="Q73" s="203"/>
      <c r="R73" s="239"/>
      <c r="S73" s="49"/>
    </row>
    <row r="74" spans="1:19">
      <c r="A74" s="49"/>
      <c r="B74" s="214"/>
      <c r="C74" s="6"/>
      <c r="D74" s="6"/>
      <c r="E74" s="7"/>
      <c r="F74" s="215"/>
      <c r="G74" s="9"/>
      <c r="H74" s="206"/>
      <c r="I74" s="206"/>
      <c r="J74" s="206"/>
      <c r="K74" s="207"/>
      <c r="L74" s="237"/>
      <c r="M74" s="208"/>
      <c r="N74" s="208"/>
      <c r="O74" s="209"/>
      <c r="P74" s="238"/>
      <c r="Q74" s="203"/>
      <c r="R74" s="239"/>
      <c r="S74" s="49"/>
    </row>
    <row r="75" spans="1:19">
      <c r="A75" s="49"/>
      <c r="B75" s="6"/>
      <c r="C75" s="6"/>
      <c r="D75" s="6"/>
      <c r="E75" s="7"/>
      <c r="F75" s="215"/>
      <c r="G75" s="9"/>
      <c r="H75" s="206"/>
      <c r="I75" s="206"/>
      <c r="J75" s="206"/>
      <c r="K75" s="207"/>
      <c r="L75" s="237"/>
      <c r="M75" s="208"/>
      <c r="N75" s="208"/>
      <c r="O75" s="209"/>
      <c r="P75" s="238"/>
      <c r="Q75" s="203"/>
      <c r="R75" s="239"/>
      <c r="S75" s="49"/>
    </row>
    <row r="76" spans="1:19">
      <c r="A76" s="49"/>
      <c r="B76" s="6"/>
      <c r="C76" s="6"/>
      <c r="D76" s="6"/>
      <c r="E76" s="7"/>
      <c r="F76" s="215"/>
      <c r="G76" s="9"/>
      <c r="H76" s="206"/>
      <c r="I76" s="206"/>
      <c r="J76" s="206"/>
      <c r="K76" s="207"/>
      <c r="L76" s="237"/>
      <c r="M76" s="208"/>
      <c r="N76" s="208"/>
      <c r="O76" s="209"/>
      <c r="P76" s="238"/>
      <c r="Q76" s="203"/>
      <c r="R76" s="239"/>
      <c r="S76" s="49"/>
    </row>
    <row r="77" spans="1:19">
      <c r="A77" s="49"/>
      <c r="B77" s="6"/>
      <c r="C77" s="6"/>
      <c r="D77" s="6"/>
      <c r="E77" s="7"/>
      <c r="F77" s="215"/>
      <c r="G77" s="9"/>
      <c r="H77" s="206"/>
      <c r="I77" s="206"/>
      <c r="J77" s="206"/>
      <c r="K77" s="207"/>
      <c r="L77" s="237"/>
      <c r="M77" s="208"/>
      <c r="N77" s="208"/>
      <c r="O77" s="209"/>
      <c r="P77" s="238"/>
      <c r="Q77" s="203"/>
      <c r="R77" s="239"/>
      <c r="S77" s="49"/>
    </row>
    <row r="78" spans="1:19">
      <c r="A78" s="49"/>
      <c r="B78" s="6"/>
      <c r="C78" s="6"/>
      <c r="D78" s="6"/>
      <c r="E78" s="7"/>
      <c r="F78" s="215"/>
      <c r="G78" s="9"/>
      <c r="H78" s="206"/>
      <c r="I78" s="206"/>
      <c r="J78" s="206"/>
      <c r="K78" s="207"/>
      <c r="L78" s="237"/>
      <c r="M78" s="208"/>
      <c r="N78" s="208"/>
      <c r="O78" s="209"/>
      <c r="P78" s="238"/>
      <c r="Q78" s="203"/>
      <c r="R78" s="239"/>
      <c r="S78" s="49"/>
    </row>
    <row r="79" spans="1:19">
      <c r="A79" s="49"/>
      <c r="B79" s="6"/>
      <c r="C79" s="6"/>
      <c r="D79" s="6"/>
      <c r="E79" s="7"/>
      <c r="F79" s="215"/>
      <c r="G79" s="9"/>
      <c r="H79" s="206"/>
      <c r="I79" s="206"/>
      <c r="J79" s="206"/>
      <c r="K79" s="207"/>
      <c r="L79" s="237"/>
      <c r="M79" s="208"/>
      <c r="N79" s="208"/>
      <c r="O79" s="209"/>
      <c r="P79" s="238"/>
      <c r="Q79" s="203"/>
      <c r="R79" s="239"/>
      <c r="S79" s="49"/>
    </row>
    <row r="80" spans="1:19">
      <c r="A80" s="49"/>
      <c r="B80" s="6"/>
      <c r="C80" s="6"/>
      <c r="D80" s="6"/>
      <c r="E80" s="7"/>
      <c r="F80" s="215"/>
      <c r="G80" s="9"/>
      <c r="H80" s="206"/>
      <c r="I80" s="206"/>
      <c r="J80" s="206"/>
      <c r="K80" s="207"/>
      <c r="L80" s="237"/>
      <c r="M80" s="208"/>
      <c r="N80" s="208"/>
      <c r="O80" s="209"/>
      <c r="P80" s="238"/>
      <c r="Q80" s="203"/>
      <c r="R80" s="239"/>
      <c r="S80" s="49"/>
    </row>
    <row r="81" spans="1:19">
      <c r="A81" s="49"/>
      <c r="B81" s="6"/>
      <c r="C81" s="6"/>
      <c r="D81" s="6"/>
      <c r="E81" s="7"/>
      <c r="F81" s="215"/>
      <c r="G81" s="9"/>
      <c r="H81" s="206"/>
      <c r="I81" s="206"/>
      <c r="J81" s="206"/>
      <c r="K81" s="207"/>
      <c r="L81" s="237"/>
      <c r="M81" s="208"/>
      <c r="N81" s="208"/>
      <c r="O81" s="209"/>
      <c r="P81" s="238"/>
      <c r="Q81" s="203"/>
      <c r="R81" s="239"/>
      <c r="S81" s="49"/>
    </row>
    <row r="82" spans="1:19">
      <c r="A82" s="49"/>
      <c r="B82" s="6"/>
      <c r="C82" s="6"/>
      <c r="D82" s="6"/>
      <c r="E82" s="7"/>
      <c r="F82" s="215"/>
      <c r="G82" s="9"/>
      <c r="H82" s="206"/>
      <c r="I82" s="206"/>
      <c r="J82" s="206"/>
      <c r="K82" s="207"/>
      <c r="L82" s="237"/>
      <c r="M82" s="208"/>
      <c r="N82" s="208"/>
      <c r="O82" s="209"/>
      <c r="P82" s="238"/>
      <c r="Q82" s="203"/>
      <c r="R82" s="239"/>
      <c r="S82" s="49"/>
    </row>
    <row r="83" spans="1:19">
      <c r="A83" s="49"/>
      <c r="B83" s="6"/>
      <c r="C83" s="6"/>
      <c r="D83" s="6"/>
      <c r="E83" s="7"/>
      <c r="F83" s="215"/>
      <c r="G83" s="9"/>
      <c r="H83" s="206"/>
      <c r="I83" s="206"/>
      <c r="J83" s="206"/>
      <c r="K83" s="207"/>
      <c r="L83" s="237"/>
      <c r="M83" s="208"/>
      <c r="N83" s="208"/>
      <c r="O83" s="209"/>
      <c r="P83" s="238"/>
      <c r="Q83" s="203"/>
      <c r="R83" s="239"/>
      <c r="S83" s="49"/>
    </row>
    <row r="84" spans="1:19">
      <c r="A84" s="49"/>
      <c r="B84" s="6"/>
      <c r="C84" s="6"/>
      <c r="D84" s="6"/>
      <c r="E84" s="7"/>
      <c r="F84" s="215"/>
      <c r="G84" s="9"/>
      <c r="H84" s="206"/>
      <c r="I84" s="206"/>
      <c r="J84" s="206"/>
      <c r="K84" s="207"/>
      <c r="L84" s="237"/>
      <c r="M84" s="208"/>
      <c r="N84" s="208"/>
      <c r="O84" s="209"/>
      <c r="P84" s="238"/>
      <c r="Q84" s="203"/>
      <c r="R84" s="239"/>
      <c r="S84" s="49"/>
    </row>
    <row r="85" spans="1:19">
      <c r="A85" s="49"/>
      <c r="B85" s="203"/>
      <c r="C85" s="203"/>
      <c r="D85" s="203"/>
      <c r="E85" s="203"/>
      <c r="F85" s="203"/>
      <c r="G85" s="203"/>
      <c r="H85" s="203"/>
      <c r="I85" s="203"/>
      <c r="J85" s="203"/>
      <c r="K85" s="203"/>
      <c r="L85" s="203"/>
      <c r="M85" s="203"/>
      <c r="N85" s="203"/>
      <c r="O85" s="203"/>
      <c r="P85" s="203"/>
      <c r="Q85" s="203"/>
      <c r="R85" s="203"/>
      <c r="S85" s="49"/>
    </row>
    <row r="86" spans="1:19">
      <c r="A86" s="49"/>
      <c r="B86" s="150"/>
      <c r="C86" s="150"/>
      <c r="D86" s="150"/>
      <c r="E86" s="150"/>
      <c r="F86" s="218"/>
      <c r="G86" s="219"/>
      <c r="H86" s="206"/>
      <c r="I86" s="206"/>
      <c r="J86" s="206"/>
      <c r="K86" s="207"/>
      <c r="L86" s="237"/>
      <c r="M86" s="208"/>
      <c r="N86" s="208"/>
      <c r="O86" s="209"/>
      <c r="P86" s="238"/>
      <c r="Q86" s="203"/>
      <c r="R86" s="239"/>
      <c r="S86" s="49"/>
    </row>
    <row r="87" spans="1:19">
      <c r="A87" s="49"/>
      <c r="B87" s="214"/>
      <c r="C87" s="6"/>
      <c r="D87" s="150"/>
      <c r="E87" s="7"/>
      <c r="F87" s="215"/>
      <c r="G87" s="9"/>
      <c r="H87" s="233"/>
      <c r="I87" s="207"/>
      <c r="J87" s="207"/>
      <c r="K87" s="207"/>
      <c r="L87" s="237"/>
      <c r="M87" s="208"/>
      <c r="N87" s="208"/>
      <c r="O87" s="209"/>
      <c r="P87" s="238"/>
      <c r="Q87" s="203"/>
      <c r="R87" s="239"/>
      <c r="S87" s="49"/>
    </row>
    <row r="88" spans="1:19">
      <c r="A88" s="49"/>
      <c r="B88" s="214"/>
      <c r="C88" s="6"/>
      <c r="D88" s="6"/>
      <c r="E88" s="7"/>
      <c r="F88" s="215"/>
      <c r="G88" s="9"/>
      <c r="H88" s="206"/>
      <c r="I88" s="206"/>
      <c r="J88" s="206"/>
      <c r="K88" s="207"/>
      <c r="L88" s="237"/>
      <c r="M88" s="208"/>
      <c r="N88" s="208"/>
      <c r="O88" s="209"/>
      <c r="P88" s="238"/>
      <c r="Q88" s="203"/>
      <c r="R88" s="239"/>
      <c r="S88" s="49"/>
    </row>
    <row r="89" spans="1:19">
      <c r="A89" s="49"/>
      <c r="B89" s="214"/>
      <c r="C89" s="6"/>
      <c r="D89" s="6"/>
      <c r="E89" s="7"/>
      <c r="F89" s="215"/>
      <c r="G89" s="9"/>
      <c r="H89" s="206"/>
      <c r="I89" s="206"/>
      <c r="J89" s="206"/>
      <c r="K89" s="207"/>
      <c r="L89" s="237"/>
      <c r="M89" s="208"/>
      <c r="N89" s="208"/>
      <c r="O89" s="209"/>
      <c r="P89" s="238"/>
      <c r="Q89" s="203"/>
      <c r="R89" s="239"/>
      <c r="S89" s="49"/>
    </row>
    <row r="90" spans="1:19">
      <c r="A90" s="49"/>
      <c r="B90" s="214"/>
      <c r="C90" s="6"/>
      <c r="D90" s="6"/>
      <c r="E90" s="7"/>
      <c r="F90" s="215"/>
      <c r="G90" s="9"/>
      <c r="H90" s="206"/>
      <c r="I90" s="206"/>
      <c r="J90" s="206"/>
      <c r="K90" s="207"/>
      <c r="L90" s="237"/>
      <c r="M90" s="208"/>
      <c r="N90" s="208"/>
      <c r="O90" s="209"/>
      <c r="P90" s="238"/>
      <c r="Q90" s="203"/>
      <c r="R90" s="239"/>
      <c r="S90" s="49"/>
    </row>
    <row r="91" spans="1:19">
      <c r="A91" s="49"/>
      <c r="B91" s="214"/>
      <c r="C91" s="6"/>
      <c r="D91" s="6"/>
      <c r="E91" s="7"/>
      <c r="F91" s="215"/>
      <c r="G91" s="9"/>
      <c r="H91" s="206"/>
      <c r="I91" s="206"/>
      <c r="J91" s="206"/>
      <c r="K91" s="207"/>
      <c r="L91" s="237"/>
      <c r="M91" s="208"/>
      <c r="N91" s="208"/>
      <c r="O91" s="209"/>
      <c r="P91" s="238"/>
      <c r="Q91" s="203"/>
      <c r="R91" s="239"/>
      <c r="S91" s="49"/>
    </row>
    <row r="92" spans="1:19">
      <c r="A92" s="49"/>
      <c r="B92" s="214"/>
      <c r="C92" s="6"/>
      <c r="D92" s="6"/>
      <c r="E92" s="7"/>
      <c r="F92" s="215"/>
      <c r="G92" s="9"/>
      <c r="H92" s="206"/>
      <c r="I92" s="206"/>
      <c r="J92" s="206"/>
      <c r="K92" s="207"/>
      <c r="L92" s="237"/>
      <c r="M92" s="208"/>
      <c r="N92" s="208"/>
      <c r="O92" s="209"/>
      <c r="P92" s="238"/>
      <c r="Q92" s="203"/>
      <c r="R92" s="239"/>
      <c r="S92" s="49"/>
    </row>
    <row r="93" spans="1:19">
      <c r="A93" s="49"/>
      <c r="B93" s="49"/>
      <c r="C93" s="202"/>
      <c r="D93" s="6"/>
      <c r="E93" s="7"/>
      <c r="F93" s="215"/>
      <c r="G93" s="9"/>
      <c r="H93" s="206"/>
      <c r="I93" s="206"/>
      <c r="J93" s="206"/>
      <c r="K93" s="207"/>
      <c r="L93" s="237"/>
      <c r="M93" s="208"/>
      <c r="N93" s="208"/>
      <c r="O93" s="209"/>
      <c r="P93" s="238"/>
      <c r="Q93" s="203"/>
      <c r="R93" s="239"/>
      <c r="S93" s="49"/>
    </row>
    <row r="94" spans="1:19">
      <c r="A94" s="49"/>
      <c r="B94" s="214"/>
      <c r="C94" s="6"/>
      <c r="D94" s="150"/>
      <c r="E94" s="49"/>
      <c r="F94" s="216"/>
      <c r="G94" s="217"/>
      <c r="H94" s="206"/>
      <c r="I94" s="206"/>
      <c r="J94" s="206"/>
      <c r="K94" s="207"/>
      <c r="L94" s="237"/>
      <c r="M94" s="208"/>
      <c r="N94" s="208"/>
      <c r="O94" s="209"/>
      <c r="P94" s="238"/>
      <c r="Q94" s="203"/>
      <c r="R94" s="239"/>
      <c r="S94" s="49"/>
    </row>
    <row r="95" spans="1:19">
      <c r="A95" s="49"/>
      <c r="B95" s="214"/>
      <c r="C95" s="236"/>
      <c r="D95" s="6"/>
      <c r="E95" s="7"/>
      <c r="F95" s="215"/>
      <c r="G95" s="9"/>
      <c r="H95" s="206"/>
      <c r="I95" s="206"/>
      <c r="J95" s="206"/>
      <c r="K95" s="207"/>
      <c r="L95" s="237"/>
      <c r="M95" s="208"/>
      <c r="N95" s="208"/>
      <c r="O95" s="209"/>
      <c r="P95" s="238"/>
      <c r="Q95" s="203"/>
      <c r="R95" s="239"/>
      <c r="S95" s="49"/>
    </row>
    <row r="96" spans="1:19">
      <c r="A96" s="49"/>
      <c r="B96" s="214"/>
      <c r="C96" s="6"/>
      <c r="D96" s="6"/>
      <c r="E96" s="7"/>
      <c r="F96" s="215"/>
      <c r="G96" s="9"/>
      <c r="H96" s="206"/>
      <c r="I96" s="206"/>
      <c r="J96" s="206"/>
      <c r="K96" s="207"/>
      <c r="L96" s="237"/>
      <c r="M96" s="208"/>
      <c r="N96" s="208"/>
      <c r="O96" s="209"/>
      <c r="P96" s="238"/>
      <c r="Q96" s="203"/>
      <c r="R96" s="239"/>
      <c r="S96" s="49"/>
    </row>
    <row r="97" spans="1:19">
      <c r="A97" s="49"/>
      <c r="B97" s="214"/>
      <c r="C97" s="236"/>
      <c r="D97" s="6"/>
      <c r="E97" s="7"/>
      <c r="F97" s="215"/>
      <c r="G97" s="9"/>
      <c r="H97" s="206"/>
      <c r="I97" s="206"/>
      <c r="J97" s="206"/>
      <c r="K97" s="207"/>
      <c r="L97" s="237"/>
      <c r="M97" s="208"/>
      <c r="N97" s="208"/>
      <c r="O97" s="209"/>
      <c r="P97" s="238"/>
      <c r="Q97" s="203"/>
      <c r="R97" s="239"/>
      <c r="S97" s="49"/>
    </row>
    <row r="98" spans="1:19">
      <c r="A98" s="49"/>
      <c r="B98" s="214"/>
      <c r="C98" s="6"/>
      <c r="D98" s="6"/>
      <c r="E98" s="7"/>
      <c r="F98" s="215"/>
      <c r="G98" s="9"/>
      <c r="H98" s="206"/>
      <c r="I98" s="206"/>
      <c r="J98" s="206"/>
      <c r="K98" s="207"/>
      <c r="L98" s="237"/>
      <c r="M98" s="208"/>
      <c r="N98" s="208"/>
      <c r="O98" s="209"/>
      <c r="P98" s="238"/>
      <c r="Q98" s="203"/>
      <c r="R98" s="239"/>
      <c r="S98" s="49"/>
    </row>
    <row r="99" spans="1:19">
      <c r="A99" s="49"/>
      <c r="B99" s="214"/>
      <c r="C99" s="6"/>
      <c r="D99" s="6"/>
      <c r="E99" s="7"/>
      <c r="F99" s="215"/>
      <c r="G99" s="9"/>
      <c r="H99" s="206"/>
      <c r="I99" s="206"/>
      <c r="J99" s="206"/>
      <c r="K99" s="207"/>
      <c r="L99" s="237"/>
      <c r="M99" s="208"/>
      <c r="N99" s="208"/>
      <c r="O99" s="209"/>
      <c r="P99" s="238"/>
      <c r="Q99" s="203"/>
      <c r="R99" s="239"/>
      <c r="S99" s="49"/>
    </row>
    <row r="100" spans="1:19">
      <c r="A100" s="49"/>
      <c r="B100" s="214"/>
      <c r="C100" s="6"/>
      <c r="D100" s="6"/>
      <c r="E100" s="7"/>
      <c r="F100" s="215"/>
      <c r="G100" s="9"/>
      <c r="H100" s="206"/>
      <c r="I100" s="206"/>
      <c r="J100" s="206"/>
      <c r="K100" s="207"/>
      <c r="L100" s="237"/>
      <c r="M100" s="208"/>
      <c r="N100" s="208"/>
      <c r="O100" s="209"/>
      <c r="P100" s="238"/>
      <c r="Q100" s="203"/>
      <c r="R100" s="239"/>
      <c r="S100" s="49"/>
    </row>
    <row r="101" spans="1:19">
      <c r="A101" s="49"/>
      <c r="B101" s="214"/>
      <c r="C101" s="6"/>
      <c r="D101" s="6"/>
      <c r="E101" s="7"/>
      <c r="F101" s="215"/>
      <c r="G101" s="9"/>
      <c r="H101" s="206"/>
      <c r="I101" s="206"/>
      <c r="J101" s="206"/>
      <c r="K101" s="207"/>
      <c r="L101" s="237"/>
      <c r="M101" s="208"/>
      <c r="N101" s="208"/>
      <c r="O101" s="209"/>
      <c r="P101" s="238"/>
      <c r="Q101" s="203"/>
      <c r="R101" s="239"/>
      <c r="S101" s="49"/>
    </row>
    <row r="102" spans="1:19">
      <c r="A102" s="49"/>
      <c r="B102" s="214"/>
      <c r="C102" s="6"/>
      <c r="D102" s="6"/>
      <c r="E102" s="7"/>
      <c r="F102" s="215"/>
      <c r="G102" s="9"/>
      <c r="H102" s="206"/>
      <c r="I102" s="206"/>
      <c r="J102" s="206"/>
      <c r="K102" s="207"/>
      <c r="L102" s="237"/>
      <c r="M102" s="208"/>
      <c r="N102" s="208"/>
      <c r="O102" s="209"/>
      <c r="P102" s="238"/>
      <c r="Q102" s="203"/>
      <c r="R102" s="239"/>
      <c r="S102" s="49"/>
    </row>
    <row r="103" spans="1:19">
      <c r="A103" s="49"/>
      <c r="B103" s="214"/>
      <c r="C103" s="6"/>
      <c r="D103" s="6"/>
      <c r="E103" s="7"/>
      <c r="F103" s="215"/>
      <c r="G103" s="9"/>
      <c r="H103" s="206"/>
      <c r="I103" s="206"/>
      <c r="J103" s="206"/>
      <c r="K103" s="207"/>
      <c r="L103" s="237"/>
      <c r="M103" s="208"/>
      <c r="N103" s="208"/>
      <c r="O103" s="209"/>
      <c r="P103" s="238"/>
      <c r="Q103" s="203"/>
      <c r="R103" s="239"/>
      <c r="S103" s="49"/>
    </row>
    <row r="104" spans="1:19">
      <c r="A104" s="49"/>
      <c r="B104" s="214"/>
      <c r="C104" s="6"/>
      <c r="D104" s="6"/>
      <c r="E104" s="7"/>
      <c r="F104" s="215"/>
      <c r="G104" s="9"/>
      <c r="H104" s="206"/>
      <c r="I104" s="206"/>
      <c r="J104" s="206"/>
      <c r="K104" s="207"/>
      <c r="L104" s="237"/>
      <c r="M104" s="208"/>
      <c r="N104" s="208"/>
      <c r="O104" s="209"/>
      <c r="P104" s="238"/>
      <c r="Q104" s="203"/>
      <c r="R104" s="239"/>
      <c r="S104" s="49"/>
    </row>
    <row r="105" spans="1:19">
      <c r="A105" s="49"/>
      <c r="B105" s="214"/>
      <c r="C105" s="6"/>
      <c r="D105" s="6"/>
      <c r="E105" s="7"/>
      <c r="F105" s="215"/>
      <c r="G105" s="9"/>
      <c r="H105" s="206"/>
      <c r="I105" s="206"/>
      <c r="J105" s="206"/>
      <c r="K105" s="207"/>
      <c r="L105" s="237"/>
      <c r="M105" s="208"/>
      <c r="N105" s="208"/>
      <c r="O105" s="209"/>
      <c r="P105" s="238"/>
      <c r="Q105" s="203"/>
      <c r="R105" s="239"/>
      <c r="S105" s="49"/>
    </row>
    <row r="106" spans="1:19">
      <c r="A106" s="49"/>
      <c r="B106" s="214"/>
      <c r="C106" s="6"/>
      <c r="D106" s="6"/>
      <c r="E106" s="7"/>
      <c r="F106" s="215"/>
      <c r="G106" s="9"/>
      <c r="H106" s="206"/>
      <c r="I106" s="206"/>
      <c r="J106" s="206"/>
      <c r="K106" s="207"/>
      <c r="L106" s="237"/>
      <c r="M106" s="208"/>
      <c r="N106" s="208"/>
      <c r="O106" s="209"/>
      <c r="P106" s="238"/>
      <c r="Q106" s="203"/>
      <c r="R106" s="239"/>
      <c r="S106" s="49"/>
    </row>
    <row r="107" spans="1:19">
      <c r="A107" s="49"/>
      <c r="B107" s="6"/>
      <c r="C107" s="6"/>
      <c r="D107" s="6"/>
      <c r="E107" s="7"/>
      <c r="F107" s="215"/>
      <c r="G107" s="9"/>
      <c r="H107" s="206"/>
      <c r="I107" s="206"/>
      <c r="J107" s="206"/>
      <c r="K107" s="207"/>
      <c r="L107" s="237"/>
      <c r="M107" s="208"/>
      <c r="N107" s="208"/>
      <c r="O107" s="209"/>
      <c r="P107" s="238"/>
      <c r="Q107" s="203"/>
      <c r="R107" s="239"/>
      <c r="S107" s="49"/>
    </row>
    <row r="108" spans="1:19">
      <c r="A108" s="49"/>
      <c r="B108" s="6"/>
      <c r="C108" s="6"/>
      <c r="D108" s="6"/>
      <c r="E108" s="7"/>
      <c r="F108" s="215"/>
      <c r="G108" s="9"/>
      <c r="H108" s="206"/>
      <c r="I108" s="206"/>
      <c r="J108" s="206"/>
      <c r="K108" s="207"/>
      <c r="L108" s="237"/>
      <c r="M108" s="208"/>
      <c r="N108" s="208"/>
      <c r="O108" s="209"/>
      <c r="P108" s="238"/>
      <c r="Q108" s="203"/>
      <c r="R108" s="239"/>
      <c r="S108" s="49"/>
    </row>
    <row r="109" spans="1:19">
      <c r="A109" s="49"/>
      <c r="B109" s="6"/>
      <c r="C109" s="6"/>
      <c r="D109" s="6"/>
      <c r="E109" s="7"/>
      <c r="F109" s="215"/>
      <c r="G109" s="9"/>
      <c r="H109" s="206"/>
      <c r="I109" s="206"/>
      <c r="J109" s="206"/>
      <c r="K109" s="207"/>
      <c r="L109" s="237"/>
      <c r="M109" s="208"/>
      <c r="N109" s="208"/>
      <c r="O109" s="209"/>
      <c r="P109" s="238"/>
      <c r="Q109" s="203"/>
      <c r="R109" s="239"/>
      <c r="S109" s="49"/>
    </row>
    <row r="110" spans="1:19">
      <c r="A110" s="49"/>
      <c r="B110" s="6"/>
      <c r="C110" s="6"/>
      <c r="D110" s="6"/>
      <c r="E110" s="7"/>
      <c r="F110" s="215"/>
      <c r="G110" s="9"/>
      <c r="H110" s="206"/>
      <c r="I110" s="206"/>
      <c r="J110" s="206"/>
      <c r="K110" s="207"/>
      <c r="L110" s="237"/>
      <c r="M110" s="208"/>
      <c r="N110" s="208"/>
      <c r="O110" s="209"/>
      <c r="P110" s="238"/>
      <c r="Q110" s="203"/>
      <c r="R110" s="239"/>
      <c r="S110" s="49"/>
    </row>
    <row r="111" spans="1:19">
      <c r="A111" s="49"/>
      <c r="B111" s="6"/>
      <c r="C111" s="6"/>
      <c r="D111" s="6"/>
      <c r="E111" s="7"/>
      <c r="F111" s="215"/>
      <c r="G111" s="9"/>
      <c r="H111" s="206"/>
      <c r="I111" s="206"/>
      <c r="J111" s="206"/>
      <c r="K111" s="207"/>
      <c r="L111" s="237"/>
      <c r="M111" s="208"/>
      <c r="N111" s="208"/>
      <c r="O111" s="209"/>
      <c r="P111" s="238"/>
      <c r="Q111" s="203"/>
      <c r="R111" s="239"/>
      <c r="S111" s="49"/>
    </row>
    <row r="112" spans="1:19">
      <c r="A112" s="49"/>
      <c r="B112" s="6"/>
      <c r="C112" s="6"/>
      <c r="D112" s="6"/>
      <c r="E112" s="7"/>
      <c r="F112" s="215"/>
      <c r="G112" s="9"/>
      <c r="H112" s="206"/>
      <c r="I112" s="206"/>
      <c r="J112" s="206"/>
      <c r="K112" s="207"/>
      <c r="L112" s="237"/>
      <c r="M112" s="208"/>
      <c r="N112" s="208"/>
      <c r="O112" s="209"/>
      <c r="P112" s="238"/>
      <c r="Q112" s="203"/>
      <c r="R112" s="239"/>
      <c r="S112" s="49"/>
    </row>
    <row r="113" spans="1:19">
      <c r="A113" s="49"/>
      <c r="B113" s="6"/>
      <c r="C113" s="6"/>
      <c r="D113" s="6"/>
      <c r="E113" s="7"/>
      <c r="F113" s="215"/>
      <c r="G113" s="9"/>
      <c r="H113" s="206"/>
      <c r="I113" s="206"/>
      <c r="J113" s="206"/>
      <c r="K113" s="207"/>
      <c r="L113" s="237"/>
      <c r="M113" s="208"/>
      <c r="N113" s="208"/>
      <c r="O113" s="209"/>
      <c r="P113" s="238"/>
      <c r="Q113" s="203"/>
      <c r="R113" s="239"/>
      <c r="S113" s="49"/>
    </row>
    <row r="114" spans="1:19">
      <c r="A114" s="49"/>
      <c r="B114" s="6"/>
      <c r="C114" s="6"/>
      <c r="D114" s="6"/>
      <c r="E114" s="7"/>
      <c r="F114" s="215"/>
      <c r="G114" s="9"/>
      <c r="H114" s="206"/>
      <c r="I114" s="206"/>
      <c r="J114" s="206"/>
      <c r="K114" s="207"/>
      <c r="L114" s="237"/>
      <c r="M114" s="208"/>
      <c r="N114" s="208"/>
      <c r="O114" s="209"/>
      <c r="P114" s="238"/>
      <c r="Q114" s="203"/>
      <c r="R114" s="239"/>
      <c r="S114" s="49"/>
    </row>
    <row r="115" spans="1:19">
      <c r="A115" s="49"/>
      <c r="B115" s="6"/>
      <c r="C115" s="6"/>
      <c r="D115" s="6"/>
      <c r="E115" s="7"/>
      <c r="F115" s="215"/>
      <c r="G115" s="9"/>
      <c r="H115" s="206"/>
      <c r="I115" s="206"/>
      <c r="J115" s="206"/>
      <c r="K115" s="207"/>
      <c r="L115" s="237"/>
      <c r="M115" s="208"/>
      <c r="N115" s="208"/>
      <c r="O115" s="209"/>
      <c r="P115" s="238"/>
      <c r="Q115" s="203"/>
      <c r="R115" s="239"/>
      <c r="S115" s="49"/>
    </row>
    <row r="116" spans="1:19">
      <c r="A116" s="49"/>
      <c r="B116" s="6"/>
      <c r="C116" s="6"/>
      <c r="D116" s="6"/>
      <c r="E116" s="7"/>
      <c r="F116" s="215"/>
      <c r="G116" s="9"/>
      <c r="H116" s="206"/>
      <c r="I116" s="206"/>
      <c r="J116" s="206"/>
      <c r="K116" s="207"/>
      <c r="L116" s="237"/>
      <c r="M116" s="208"/>
      <c r="N116" s="208"/>
      <c r="O116" s="209"/>
      <c r="P116" s="238"/>
      <c r="Q116" s="203"/>
      <c r="R116" s="239"/>
      <c r="S116" s="49"/>
    </row>
    <row r="117" spans="1:19">
      <c r="A117" s="49"/>
      <c r="B117" s="6"/>
      <c r="C117" s="6"/>
      <c r="D117" s="6"/>
      <c r="E117" s="7"/>
      <c r="F117" s="215"/>
      <c r="G117" s="9"/>
      <c r="H117" s="206"/>
      <c r="I117" s="206"/>
      <c r="J117" s="206"/>
      <c r="K117" s="207"/>
      <c r="L117" s="237"/>
      <c r="M117" s="208"/>
      <c r="N117" s="208"/>
      <c r="O117" s="209"/>
      <c r="P117" s="238"/>
      <c r="Q117" s="203"/>
      <c r="R117" s="239"/>
      <c r="S117" s="49"/>
    </row>
    <row r="118" spans="1:19">
      <c r="A118" s="49"/>
      <c r="B118" s="6"/>
      <c r="C118" s="6"/>
      <c r="D118" s="6"/>
      <c r="E118" s="7"/>
      <c r="F118" s="215"/>
      <c r="G118" s="9"/>
      <c r="H118" s="206"/>
      <c r="I118" s="206"/>
      <c r="J118" s="206"/>
      <c r="K118" s="207"/>
      <c r="L118" s="237"/>
      <c r="M118" s="208"/>
      <c r="N118" s="208"/>
      <c r="O118" s="209"/>
      <c r="P118" s="238"/>
      <c r="Q118" s="203"/>
      <c r="R118" s="239"/>
      <c r="S118" s="49"/>
    </row>
    <row r="119" spans="1:19">
      <c r="A119" s="49"/>
      <c r="B119" s="6"/>
      <c r="C119" s="6"/>
      <c r="D119" s="6"/>
      <c r="E119" s="7"/>
      <c r="F119" s="215"/>
      <c r="G119" s="9"/>
      <c r="H119" s="206"/>
      <c r="I119" s="206"/>
      <c r="J119" s="206"/>
      <c r="K119" s="207"/>
      <c r="L119" s="237"/>
      <c r="M119" s="208"/>
      <c r="N119" s="208"/>
      <c r="O119" s="209"/>
      <c r="P119" s="238"/>
      <c r="Q119" s="203"/>
      <c r="R119" s="239"/>
      <c r="S119" s="49"/>
    </row>
    <row r="120" spans="1:19">
      <c r="A120" s="49"/>
      <c r="B120" s="150"/>
      <c r="C120" s="150"/>
      <c r="D120" s="150"/>
      <c r="E120" s="150"/>
      <c r="F120" s="218"/>
      <c r="G120" s="219"/>
      <c r="H120" s="206"/>
      <c r="I120" s="206"/>
      <c r="J120" s="206"/>
      <c r="K120" s="207"/>
      <c r="L120" s="237"/>
      <c r="M120" s="208"/>
      <c r="N120" s="208"/>
      <c r="O120" s="209"/>
      <c r="P120" s="238"/>
      <c r="Q120" s="203"/>
      <c r="R120" s="239"/>
      <c r="S120" s="49"/>
    </row>
    <row r="121" spans="1:19">
      <c r="A121" s="49"/>
      <c r="B121" s="214"/>
      <c r="C121" s="6"/>
      <c r="D121" s="150"/>
      <c r="E121" s="7"/>
      <c r="F121" s="215"/>
      <c r="G121" s="9"/>
      <c r="H121" s="233"/>
      <c r="I121" s="207"/>
      <c r="J121" s="207"/>
      <c r="K121" s="207"/>
      <c r="L121" s="237"/>
      <c r="M121" s="208"/>
      <c r="N121" s="208"/>
      <c r="O121" s="209"/>
      <c r="P121" s="238"/>
      <c r="Q121" s="203"/>
      <c r="R121" s="239"/>
      <c r="S121" s="49"/>
    </row>
    <row r="122" spans="1:19">
      <c r="A122" s="49"/>
      <c r="B122" s="203"/>
      <c r="C122" s="203"/>
      <c r="D122" s="203"/>
      <c r="E122" s="203"/>
      <c r="F122" s="203"/>
      <c r="G122" s="203"/>
      <c r="H122" s="203"/>
      <c r="I122" s="203"/>
      <c r="J122" s="203"/>
      <c r="K122" s="203"/>
      <c r="L122" s="203"/>
      <c r="M122" s="203"/>
      <c r="N122" s="203"/>
      <c r="O122" s="203"/>
      <c r="P122" s="203"/>
      <c r="Q122" s="203"/>
      <c r="R122" s="203"/>
      <c r="S122" s="49"/>
    </row>
    <row r="123" spans="1:19">
      <c r="A123" s="49"/>
      <c r="B123" s="150"/>
      <c r="C123" s="150"/>
      <c r="D123" s="150"/>
      <c r="E123" s="150"/>
      <c r="F123" s="218"/>
      <c r="G123" s="219"/>
      <c r="H123" s="206"/>
      <c r="I123" s="198"/>
      <c r="J123" s="198"/>
      <c r="K123" s="199"/>
      <c r="L123" s="230"/>
      <c r="M123" s="200"/>
      <c r="N123" s="200"/>
      <c r="O123" s="201"/>
      <c r="P123" s="231"/>
      <c r="Q123" s="197"/>
      <c r="R123" s="232"/>
    </row>
    <row r="124" spans="1:19">
      <c r="A124" s="49"/>
      <c r="B124" s="214"/>
      <c r="C124" s="6"/>
      <c r="D124" s="150"/>
      <c r="E124" s="7"/>
      <c r="F124" s="215"/>
      <c r="G124" s="9"/>
      <c r="H124" s="233"/>
      <c r="I124" s="199"/>
      <c r="J124" s="199"/>
      <c r="K124" s="199"/>
      <c r="L124" s="230"/>
      <c r="M124" s="200"/>
      <c r="N124" s="200"/>
      <c r="O124" s="201"/>
      <c r="P124" s="231"/>
      <c r="Q124" s="197"/>
      <c r="R124" s="232"/>
    </row>
    <row r="125" spans="1:19">
      <c r="A125" s="49"/>
      <c r="B125" s="214"/>
      <c r="C125" s="6"/>
      <c r="D125" s="6"/>
      <c r="E125" s="7"/>
      <c r="F125" s="215"/>
      <c r="G125" s="9"/>
      <c r="H125" s="206"/>
      <c r="I125" s="198"/>
      <c r="J125" s="198"/>
      <c r="K125" s="199"/>
      <c r="L125" s="230"/>
      <c r="M125" s="200"/>
      <c r="N125" s="200"/>
      <c r="O125" s="201"/>
      <c r="P125" s="231"/>
      <c r="Q125" s="197"/>
      <c r="R125" s="232"/>
    </row>
    <row r="126" spans="1:19">
      <c r="A126" s="49"/>
      <c r="B126" s="214"/>
      <c r="C126" s="6"/>
      <c r="D126" s="6"/>
      <c r="E126" s="7"/>
      <c r="F126" s="215"/>
      <c r="G126" s="9"/>
      <c r="H126" s="206"/>
      <c r="I126" s="198"/>
      <c r="J126" s="198"/>
      <c r="K126" s="199"/>
      <c r="L126" s="230"/>
      <c r="M126" s="200"/>
      <c r="N126" s="200"/>
      <c r="O126" s="201"/>
      <c r="P126" s="231"/>
      <c r="Q126" s="197"/>
      <c r="R126" s="232"/>
    </row>
    <row r="127" spans="1:19">
      <c r="A127" s="49"/>
      <c r="B127" s="214"/>
      <c r="C127" s="6"/>
      <c r="D127" s="6"/>
      <c r="E127" s="7"/>
      <c r="F127" s="215"/>
      <c r="G127" s="9"/>
      <c r="H127" s="206"/>
      <c r="I127" s="198"/>
      <c r="J127" s="198"/>
      <c r="K127" s="199"/>
      <c r="L127" s="230"/>
      <c r="M127" s="200"/>
      <c r="N127" s="200"/>
      <c r="O127" s="201"/>
      <c r="P127" s="231"/>
      <c r="Q127" s="197"/>
      <c r="R127" s="232"/>
    </row>
    <row r="128" spans="1:19">
      <c r="A128" s="49"/>
      <c r="B128" s="214"/>
      <c r="C128" s="236"/>
      <c r="D128" s="6"/>
      <c r="E128" s="7"/>
      <c r="F128" s="215"/>
      <c r="G128" s="9"/>
      <c r="H128" s="206"/>
      <c r="I128" s="198"/>
      <c r="J128" s="198"/>
      <c r="K128" s="199"/>
      <c r="L128" s="230"/>
      <c r="M128" s="200"/>
      <c r="N128" s="200"/>
      <c r="O128" s="201"/>
      <c r="P128" s="231"/>
      <c r="Q128" s="197"/>
      <c r="R128" s="232"/>
    </row>
    <row r="129" spans="1:18">
      <c r="A129" s="49"/>
      <c r="B129" s="214"/>
      <c r="C129" s="6"/>
      <c r="D129" s="6"/>
      <c r="E129" s="7"/>
      <c r="F129" s="215"/>
      <c r="G129" s="9"/>
      <c r="H129" s="206"/>
      <c r="I129" s="198"/>
      <c r="J129" s="198"/>
      <c r="K129" s="199"/>
      <c r="L129" s="230"/>
      <c r="M129" s="200"/>
      <c r="N129" s="200"/>
      <c r="O129" s="201"/>
      <c r="P129" s="231"/>
      <c r="Q129" s="197"/>
      <c r="R129" s="232"/>
    </row>
    <row r="130" spans="1:18">
      <c r="A130" s="49"/>
      <c r="B130" s="49"/>
      <c r="C130" s="202"/>
      <c r="D130" s="6"/>
      <c r="E130" s="7"/>
      <c r="F130" s="215"/>
      <c r="G130" s="9"/>
      <c r="H130" s="206"/>
      <c r="I130" s="198"/>
      <c r="J130" s="198"/>
      <c r="K130" s="199"/>
      <c r="L130" s="230"/>
      <c r="M130" s="200"/>
      <c r="N130" s="200"/>
      <c r="O130" s="201"/>
      <c r="P130" s="231"/>
      <c r="Q130" s="197"/>
      <c r="R130" s="232"/>
    </row>
    <row r="131" spans="1:18">
      <c r="A131" s="49"/>
      <c r="B131" s="214"/>
      <c r="C131" s="6"/>
      <c r="D131" s="150"/>
      <c r="E131" s="49"/>
      <c r="F131" s="216"/>
      <c r="G131" s="217"/>
      <c r="H131" s="206"/>
      <c r="I131" s="198"/>
      <c r="J131" s="198"/>
      <c r="K131" s="199"/>
      <c r="L131" s="230"/>
      <c r="M131" s="200"/>
      <c r="N131" s="200"/>
      <c r="O131" s="201"/>
      <c r="P131" s="231"/>
      <c r="Q131" s="197"/>
      <c r="R131" s="232"/>
    </row>
    <row r="132" spans="1:18">
      <c r="A132" s="49"/>
      <c r="B132" s="214"/>
      <c r="C132" s="6"/>
      <c r="D132" s="6"/>
      <c r="E132" s="7"/>
      <c r="F132" s="215"/>
      <c r="G132" s="9"/>
      <c r="H132" s="206"/>
      <c r="I132" s="198"/>
      <c r="J132" s="198"/>
      <c r="K132" s="199"/>
      <c r="L132" s="230"/>
      <c r="M132" s="200"/>
      <c r="N132" s="200"/>
      <c r="O132" s="201"/>
      <c r="P132" s="231"/>
      <c r="Q132" s="197"/>
      <c r="R132" s="232"/>
    </row>
    <row r="133" spans="1:18">
      <c r="A133" s="49"/>
      <c r="B133" s="214"/>
      <c r="C133" s="6"/>
      <c r="D133" s="6"/>
      <c r="E133" s="7"/>
      <c r="F133" s="215"/>
      <c r="G133" s="9"/>
      <c r="H133" s="206"/>
      <c r="I133" s="198"/>
      <c r="J133" s="198"/>
      <c r="K133" s="199"/>
      <c r="L133" s="230"/>
      <c r="M133" s="200"/>
      <c r="N133" s="200"/>
      <c r="O133" s="201"/>
      <c r="P133" s="231"/>
      <c r="Q133" s="197"/>
      <c r="R133" s="232"/>
    </row>
    <row r="134" spans="1:18">
      <c r="A134" s="49"/>
      <c r="B134" s="214"/>
      <c r="C134" s="6"/>
      <c r="D134" s="6"/>
      <c r="E134" s="7"/>
      <c r="F134" s="215"/>
      <c r="G134" s="9"/>
      <c r="H134" s="206"/>
      <c r="I134" s="198"/>
      <c r="J134" s="198"/>
      <c r="K134" s="199"/>
      <c r="L134" s="230"/>
      <c r="M134" s="200"/>
      <c r="N134" s="200"/>
      <c r="O134" s="201"/>
      <c r="P134" s="231"/>
      <c r="Q134" s="197"/>
      <c r="R134" s="232"/>
    </row>
    <row r="135" spans="1:18">
      <c r="A135" s="49"/>
      <c r="B135" s="214"/>
      <c r="C135" s="6"/>
      <c r="D135" s="6"/>
      <c r="E135" s="7"/>
      <c r="F135" s="215"/>
      <c r="G135" s="9"/>
      <c r="H135" s="206"/>
      <c r="I135" s="198"/>
      <c r="J135" s="198"/>
      <c r="K135" s="199"/>
      <c r="L135" s="230"/>
      <c r="M135" s="200"/>
      <c r="N135" s="200"/>
      <c r="O135" s="201"/>
      <c r="P135" s="231"/>
      <c r="Q135" s="197"/>
      <c r="R135" s="232"/>
    </row>
    <row r="136" spans="1:18">
      <c r="A136" s="49"/>
      <c r="B136" s="214"/>
      <c r="C136" s="6"/>
      <c r="D136" s="6"/>
      <c r="E136" s="7"/>
      <c r="F136" s="215"/>
      <c r="G136" s="9"/>
      <c r="H136" s="206"/>
      <c r="I136" s="198"/>
      <c r="J136" s="198"/>
      <c r="K136" s="199"/>
      <c r="L136" s="230"/>
      <c r="M136" s="200"/>
      <c r="N136" s="200"/>
      <c r="O136" s="201"/>
      <c r="P136" s="231"/>
      <c r="Q136" s="197"/>
      <c r="R136" s="232"/>
    </row>
    <row r="137" spans="1:18">
      <c r="A137" s="49"/>
      <c r="B137" s="214"/>
      <c r="C137" s="6"/>
      <c r="D137" s="6"/>
      <c r="E137" s="7"/>
      <c r="F137" s="215"/>
      <c r="G137" s="9"/>
      <c r="H137" s="206"/>
      <c r="I137" s="198"/>
      <c r="J137" s="198"/>
      <c r="K137" s="199"/>
      <c r="L137" s="230"/>
      <c r="M137" s="200"/>
      <c r="N137" s="200"/>
      <c r="O137" s="201"/>
      <c r="P137" s="231"/>
      <c r="Q137" s="197"/>
      <c r="R137" s="232"/>
    </row>
    <row r="138" spans="1:18">
      <c r="A138" s="49"/>
      <c r="B138" s="214"/>
      <c r="C138" s="6"/>
      <c r="D138" s="6"/>
      <c r="E138" s="7"/>
      <c r="F138" s="215"/>
      <c r="G138" s="9"/>
      <c r="H138" s="206"/>
      <c r="I138" s="198"/>
      <c r="J138" s="198"/>
      <c r="K138" s="199"/>
      <c r="L138" s="230"/>
      <c r="M138" s="200"/>
      <c r="N138" s="200"/>
      <c r="O138" s="201"/>
      <c r="P138" s="231"/>
      <c r="Q138" s="197"/>
      <c r="R138" s="232"/>
    </row>
    <row r="139" spans="1:18">
      <c r="A139" s="49"/>
      <c r="B139" s="214"/>
      <c r="C139" s="6"/>
      <c r="D139" s="6"/>
      <c r="E139" s="7"/>
      <c r="F139" s="215"/>
      <c r="G139" s="9"/>
      <c r="H139" s="206"/>
      <c r="I139" s="198"/>
      <c r="J139" s="198"/>
      <c r="K139" s="199"/>
      <c r="L139" s="230"/>
      <c r="M139" s="200"/>
      <c r="N139" s="200"/>
      <c r="O139" s="201"/>
      <c r="P139" s="231"/>
      <c r="Q139" s="197"/>
      <c r="R139" s="232"/>
    </row>
    <row r="140" spans="1:18">
      <c r="A140" s="49"/>
      <c r="B140" s="214"/>
      <c r="C140" s="6"/>
      <c r="D140" s="6"/>
      <c r="E140" s="7"/>
      <c r="F140" s="215"/>
      <c r="G140" s="9"/>
      <c r="H140" s="206"/>
      <c r="I140" s="198"/>
      <c r="J140" s="198"/>
      <c r="K140" s="199"/>
      <c r="L140" s="230"/>
      <c r="M140" s="200"/>
      <c r="N140" s="200"/>
      <c r="O140" s="201"/>
      <c r="P140" s="231"/>
      <c r="Q140" s="197"/>
      <c r="R140" s="232"/>
    </row>
    <row r="141" spans="1:18">
      <c r="A141" s="49"/>
      <c r="B141" s="214"/>
      <c r="C141" s="6"/>
      <c r="D141" s="6"/>
      <c r="E141" s="7"/>
      <c r="F141" s="215"/>
      <c r="G141" s="9"/>
      <c r="H141" s="206"/>
      <c r="I141" s="198"/>
      <c r="J141" s="198"/>
      <c r="K141" s="199"/>
      <c r="L141" s="230"/>
      <c r="M141" s="200"/>
      <c r="N141" s="200"/>
      <c r="O141" s="201"/>
      <c r="P141" s="231"/>
      <c r="Q141" s="197"/>
      <c r="R141" s="232"/>
    </row>
    <row r="142" spans="1:18">
      <c r="A142" s="49"/>
      <c r="B142" s="214"/>
      <c r="C142" s="6"/>
      <c r="D142" s="6"/>
      <c r="E142" s="7"/>
      <c r="F142" s="215"/>
      <c r="G142" s="9"/>
      <c r="H142" s="206"/>
      <c r="I142" s="198"/>
      <c r="J142" s="198"/>
      <c r="K142" s="199"/>
      <c r="L142" s="230"/>
      <c r="M142" s="200"/>
      <c r="N142" s="200"/>
      <c r="O142" s="201"/>
      <c r="P142" s="231"/>
      <c r="Q142" s="197"/>
      <c r="R142" s="232"/>
    </row>
    <row r="143" spans="1:18">
      <c r="A143" s="49"/>
      <c r="B143" s="6"/>
      <c r="C143" s="6"/>
      <c r="D143" s="6"/>
      <c r="E143" s="7"/>
      <c r="F143" s="215"/>
      <c r="G143" s="9"/>
      <c r="H143" s="206"/>
      <c r="I143" s="198"/>
      <c r="J143" s="198"/>
      <c r="K143" s="199"/>
      <c r="L143" s="230"/>
      <c r="M143" s="200"/>
      <c r="N143" s="200"/>
      <c r="O143" s="201"/>
      <c r="P143" s="231"/>
      <c r="Q143" s="197"/>
      <c r="R143" s="232"/>
    </row>
    <row r="144" spans="1:18">
      <c r="A144" s="49"/>
      <c r="B144" s="6"/>
      <c r="C144" s="6"/>
      <c r="D144" s="6"/>
      <c r="E144" s="7"/>
      <c r="F144" s="215"/>
      <c r="G144" s="9"/>
      <c r="H144" s="206"/>
      <c r="I144" s="198"/>
      <c r="J144" s="198"/>
      <c r="K144" s="199"/>
      <c r="L144" s="230"/>
      <c r="M144" s="200"/>
      <c r="N144" s="200"/>
      <c r="O144" s="201"/>
      <c r="P144" s="231"/>
      <c r="Q144" s="197"/>
      <c r="R144" s="232"/>
    </row>
    <row r="145" spans="1:18">
      <c r="A145" s="49"/>
      <c r="B145" s="6"/>
      <c r="C145" s="6"/>
      <c r="D145" s="6"/>
      <c r="E145" s="7"/>
      <c r="F145" s="215"/>
      <c r="G145" s="9"/>
      <c r="H145" s="206"/>
      <c r="I145" s="198"/>
      <c r="J145" s="198"/>
      <c r="K145" s="199"/>
      <c r="L145" s="230"/>
      <c r="M145" s="200"/>
      <c r="N145" s="200"/>
      <c r="O145" s="201"/>
      <c r="P145" s="231"/>
      <c r="Q145" s="197"/>
      <c r="R145" s="232"/>
    </row>
    <row r="146" spans="1:18">
      <c r="A146" s="49"/>
      <c r="B146" s="6"/>
      <c r="C146" s="6"/>
      <c r="D146" s="6"/>
      <c r="E146" s="7"/>
      <c r="F146" s="215"/>
      <c r="G146" s="9"/>
      <c r="H146" s="206"/>
      <c r="I146" s="198"/>
      <c r="J146" s="198"/>
      <c r="K146" s="199"/>
      <c r="L146" s="230"/>
      <c r="M146" s="200"/>
      <c r="N146" s="200"/>
      <c r="O146" s="201"/>
      <c r="P146" s="231"/>
      <c r="Q146" s="197"/>
      <c r="R146" s="232"/>
    </row>
    <row r="147" spans="1:18">
      <c r="A147" s="49"/>
      <c r="B147" s="6"/>
      <c r="C147" s="6"/>
      <c r="D147" s="6"/>
      <c r="E147" s="7"/>
      <c r="F147" s="215"/>
      <c r="G147" s="9"/>
      <c r="H147" s="206"/>
      <c r="I147" s="198"/>
      <c r="J147" s="198"/>
      <c r="K147" s="199"/>
      <c r="L147" s="230"/>
      <c r="M147" s="200"/>
      <c r="N147" s="200"/>
      <c r="O147" s="201"/>
      <c r="P147" s="231"/>
      <c r="Q147" s="197"/>
      <c r="R147" s="232"/>
    </row>
    <row r="148" spans="1:18">
      <c r="A148" s="49"/>
      <c r="B148" s="6"/>
      <c r="C148" s="6"/>
      <c r="D148" s="6"/>
      <c r="E148" s="7"/>
      <c r="F148" s="215"/>
      <c r="G148" s="9"/>
      <c r="H148" s="206"/>
      <c r="I148" s="198"/>
      <c r="J148" s="198"/>
      <c r="K148" s="199"/>
      <c r="L148" s="230"/>
      <c r="M148" s="200"/>
      <c r="N148" s="200"/>
      <c r="O148" s="201"/>
      <c r="P148" s="231"/>
      <c r="Q148" s="197"/>
      <c r="R148" s="232"/>
    </row>
    <row r="149" spans="1:18">
      <c r="A149" s="49"/>
      <c r="B149" s="6"/>
      <c r="C149" s="6"/>
      <c r="D149" s="6"/>
      <c r="E149" s="7"/>
      <c r="F149" s="215"/>
      <c r="G149" s="9"/>
      <c r="H149" s="206"/>
      <c r="I149" s="198"/>
      <c r="J149" s="198"/>
      <c r="K149" s="199"/>
      <c r="L149" s="230"/>
      <c r="M149" s="200"/>
      <c r="N149" s="200"/>
      <c r="O149" s="201"/>
      <c r="P149" s="231"/>
      <c r="Q149" s="197"/>
      <c r="R149" s="232"/>
    </row>
    <row r="150" spans="1:18">
      <c r="A150" s="49"/>
      <c r="B150" s="6"/>
      <c r="C150" s="6"/>
      <c r="D150" s="6"/>
      <c r="E150" s="7"/>
      <c r="F150" s="215"/>
      <c r="G150" s="9"/>
      <c r="H150" s="206"/>
      <c r="I150" s="198"/>
      <c r="J150" s="198"/>
      <c r="K150" s="199"/>
      <c r="L150" s="230"/>
      <c r="M150" s="200"/>
      <c r="N150" s="200"/>
      <c r="O150" s="201"/>
      <c r="P150" s="231"/>
      <c r="Q150" s="197"/>
      <c r="R150" s="232"/>
    </row>
    <row r="151" spans="1:18">
      <c r="A151" s="49"/>
      <c r="B151" s="6"/>
      <c r="C151" s="6"/>
      <c r="D151" s="6"/>
      <c r="E151" s="7"/>
      <c r="F151" s="215"/>
      <c r="G151" s="9"/>
      <c r="H151" s="206"/>
      <c r="I151" s="198"/>
      <c r="J151" s="198"/>
      <c r="K151" s="199"/>
      <c r="L151" s="230"/>
      <c r="M151" s="200"/>
      <c r="N151" s="200"/>
      <c r="O151" s="201"/>
      <c r="P151" s="231"/>
      <c r="Q151" s="197"/>
      <c r="R151" s="232"/>
    </row>
    <row r="152" spans="1:18">
      <c r="A152" s="49"/>
      <c r="B152" s="49"/>
      <c r="C152" s="49"/>
      <c r="D152" s="49"/>
      <c r="E152" s="49"/>
      <c r="F152" s="49"/>
      <c r="G152" s="49"/>
      <c r="H152" s="49"/>
      <c r="I152" s="154"/>
      <c r="J152" s="154"/>
      <c r="K152" s="154"/>
      <c r="L152" s="154"/>
      <c r="M152" s="154"/>
      <c r="N152" s="154"/>
      <c r="O152" s="154"/>
      <c r="P152" s="154"/>
      <c r="Q152" s="154"/>
      <c r="R152" s="154"/>
    </row>
    <row r="153" spans="1:18">
      <c r="A153" s="49"/>
      <c r="B153" s="49"/>
      <c r="C153" s="49"/>
      <c r="D153" s="49"/>
      <c r="E153" s="49"/>
      <c r="F153" s="49"/>
      <c r="G153" s="49"/>
      <c r="H153" s="49"/>
      <c r="I153" s="154"/>
      <c r="J153" s="154"/>
      <c r="K153" s="154"/>
      <c r="L153" s="154"/>
      <c r="M153" s="154"/>
      <c r="N153" s="154"/>
      <c r="O153" s="154"/>
      <c r="P153" s="154"/>
      <c r="Q153" s="154"/>
      <c r="R153" s="154"/>
    </row>
    <row r="154" spans="1:18">
      <c r="A154" s="49"/>
      <c r="B154" s="49"/>
      <c r="C154" s="49"/>
      <c r="D154" s="49"/>
      <c r="E154" s="49"/>
      <c r="F154" s="49"/>
      <c r="G154" s="49"/>
      <c r="H154" s="49"/>
      <c r="I154" s="154"/>
      <c r="J154" s="154"/>
      <c r="K154" s="154"/>
      <c r="L154" s="154"/>
      <c r="M154" s="154"/>
      <c r="N154" s="154"/>
      <c r="O154" s="154"/>
      <c r="P154" s="154"/>
      <c r="Q154" s="154"/>
      <c r="R154" s="154"/>
    </row>
    <row r="155" spans="1:18">
      <c r="A155" s="3"/>
      <c r="B155" s="3"/>
      <c r="C155" s="3"/>
      <c r="D155" s="3"/>
      <c r="E155" s="3"/>
      <c r="F155" s="3"/>
      <c r="G155" s="3"/>
      <c r="H155" s="3"/>
    </row>
    <row r="156" spans="1:18">
      <c r="A156" s="3"/>
      <c r="B156" s="3"/>
      <c r="C156" s="3"/>
      <c r="D156" s="3"/>
      <c r="E156" s="3"/>
      <c r="F156" s="3"/>
      <c r="G156" s="3"/>
      <c r="H156" s="3"/>
    </row>
    <row r="157" spans="1:18">
      <c r="A157" s="3"/>
      <c r="B157" s="3"/>
      <c r="C157" s="3"/>
      <c r="D157" s="3"/>
      <c r="E157" s="3"/>
      <c r="F157" s="3"/>
      <c r="G157" s="3"/>
      <c r="H157" s="3"/>
    </row>
    <row r="158" spans="1:18">
      <c r="A158" s="3"/>
      <c r="B158" s="3"/>
      <c r="C158" s="3"/>
      <c r="D158" s="3"/>
      <c r="E158" s="3"/>
      <c r="F158" s="3"/>
      <c r="G158" s="3"/>
    </row>
    <row r="159" spans="1:18">
      <c r="A159" s="3"/>
      <c r="B159" s="3"/>
      <c r="C159" s="3"/>
      <c r="D159" s="3"/>
      <c r="E159" s="3"/>
      <c r="F159" s="3"/>
      <c r="G159" s="3"/>
    </row>
    <row r="160" spans="1:18">
      <c r="A160" s="3"/>
      <c r="B160" s="3"/>
      <c r="C160" s="3"/>
      <c r="D160" s="3"/>
      <c r="E160" s="3"/>
      <c r="F160" s="3"/>
      <c r="G160" s="3"/>
    </row>
    <row r="161" spans="1:7">
      <c r="A161" s="3"/>
      <c r="B161" s="3"/>
      <c r="C161" s="3"/>
      <c r="D161" s="3"/>
      <c r="E161" s="3"/>
      <c r="F161" s="3"/>
      <c r="G161" s="3"/>
    </row>
    <row r="162" spans="1:7">
      <c r="A162" s="3"/>
      <c r="B162" s="3"/>
      <c r="C162" s="3"/>
      <c r="D162" s="3"/>
      <c r="E162" s="3"/>
      <c r="F162" s="3"/>
      <c r="G162" s="3"/>
    </row>
    <row r="163" spans="1:7">
      <c r="A163" s="3"/>
      <c r="B163" s="3"/>
      <c r="C163" s="3"/>
      <c r="D163" s="3"/>
      <c r="E163" s="3"/>
      <c r="F163" s="3"/>
      <c r="G163" s="3"/>
    </row>
    <row r="164" spans="1:7">
      <c r="A164" s="3"/>
      <c r="B164" s="3"/>
      <c r="C164" s="3"/>
      <c r="D164" s="3"/>
      <c r="E164" s="3"/>
      <c r="F164" s="3"/>
      <c r="G164" s="3"/>
    </row>
    <row r="165" spans="1:7">
      <c r="A165" s="3"/>
      <c r="B165" s="3"/>
      <c r="C165" s="3"/>
      <c r="D165" s="3"/>
      <c r="E165" s="3"/>
      <c r="F165" s="3"/>
      <c r="G165" s="3"/>
    </row>
    <row r="166" spans="1:7">
      <c r="A166" s="3"/>
      <c r="B166" s="3"/>
      <c r="C166" s="3"/>
      <c r="D166" s="3"/>
      <c r="E166" s="3"/>
      <c r="F166" s="3"/>
      <c r="G166" s="3"/>
    </row>
    <row r="167" spans="1:7">
      <c r="A167" s="3"/>
      <c r="B167" s="3"/>
      <c r="C167" s="3"/>
      <c r="D167" s="3"/>
      <c r="E167" s="3"/>
      <c r="F167" s="3"/>
      <c r="G167" s="3"/>
    </row>
    <row r="168" spans="1:7">
      <c r="A168" s="3"/>
      <c r="B168" s="3"/>
      <c r="C168" s="3"/>
      <c r="D168" s="3"/>
      <c r="E168" s="3"/>
      <c r="F168" s="3"/>
      <c r="G168" s="3"/>
    </row>
    <row r="169" spans="1:7">
      <c r="A169" s="3"/>
      <c r="B169" s="3"/>
      <c r="C169" s="3"/>
      <c r="D169" s="3"/>
      <c r="E169" s="3"/>
      <c r="F169" s="3"/>
      <c r="G169" s="3"/>
    </row>
    <row r="170" spans="1:7">
      <c r="A170" s="3"/>
      <c r="B170" s="3"/>
      <c r="C170" s="3"/>
      <c r="D170" s="3"/>
      <c r="E170" s="3"/>
      <c r="F170" s="3"/>
      <c r="G170" s="3"/>
    </row>
    <row r="171" spans="1:7">
      <c r="A171" s="3"/>
      <c r="B171" s="3"/>
      <c r="C171" s="3"/>
      <c r="D171" s="3"/>
      <c r="E171" s="3"/>
      <c r="F171" s="3"/>
      <c r="G171" s="3"/>
    </row>
    <row r="172" spans="1:7">
      <c r="A172" s="3"/>
      <c r="B172" s="3"/>
      <c r="C172" s="3"/>
      <c r="D172" s="3"/>
      <c r="E172" s="3"/>
      <c r="F172" s="3"/>
      <c r="G172" s="3"/>
    </row>
    <row r="173" spans="1:7">
      <c r="A173" s="3"/>
      <c r="B173" s="3"/>
      <c r="C173" s="3"/>
      <c r="D173" s="3"/>
      <c r="E173" s="3"/>
      <c r="F173" s="3"/>
      <c r="G173" s="3"/>
    </row>
    <row r="174" spans="1:7">
      <c r="A174" s="3"/>
      <c r="B174" s="3"/>
      <c r="C174" s="3"/>
      <c r="D174" s="3"/>
      <c r="E174" s="3"/>
      <c r="F174" s="3"/>
      <c r="G174" s="3"/>
    </row>
    <row r="175" spans="1:7">
      <c r="A175" s="3"/>
      <c r="B175" s="3"/>
      <c r="C175" s="3"/>
      <c r="D175" s="3"/>
      <c r="E175" s="3"/>
      <c r="F175" s="3"/>
      <c r="G175" s="3"/>
    </row>
    <row r="176" spans="1:7">
      <c r="A176" s="3"/>
      <c r="B176" s="3"/>
      <c r="C176" s="3"/>
      <c r="D176" s="3"/>
      <c r="E176" s="3"/>
      <c r="F176" s="3"/>
      <c r="G176" s="3"/>
    </row>
    <row r="177" spans="1:7">
      <c r="A177" s="3"/>
      <c r="B177" s="3"/>
      <c r="C177" s="3"/>
      <c r="D177" s="3"/>
      <c r="E177" s="3"/>
      <c r="F177" s="3"/>
      <c r="G177" s="3"/>
    </row>
    <row r="178" spans="1:7">
      <c r="A178" s="3"/>
      <c r="B178" s="3"/>
      <c r="C178" s="3"/>
      <c r="D178" s="3"/>
      <c r="E178" s="3"/>
      <c r="F178" s="3"/>
      <c r="G178" s="3"/>
    </row>
    <row r="179" spans="1:7">
      <c r="A179" s="3"/>
      <c r="B179" s="3"/>
      <c r="C179" s="3"/>
      <c r="D179" s="3"/>
      <c r="E179" s="3"/>
      <c r="F179" s="3"/>
      <c r="G179" s="3"/>
    </row>
    <row r="180" spans="1:7">
      <c r="A180" s="3"/>
      <c r="B180" s="3"/>
      <c r="C180" s="3"/>
      <c r="D180" s="3"/>
      <c r="E180" s="3"/>
      <c r="F180" s="3"/>
      <c r="G180" s="3"/>
    </row>
  </sheetData>
  <mergeCells count="1">
    <mergeCell ref="H8:R8"/>
  </mergeCells>
  <phoneticPr fontId="3" type="noConversion"/>
  <printOptions gridLines="1"/>
  <pageMargins left="0.75" right="0.75" top="1" bottom="1" header="0.5" footer="0.5"/>
  <pageSetup orientation="landscape" horizontalDpi="300" verticalDpi="300" r:id="rId1"/>
  <headerFooter alignWithMargins="0">
    <oddHeader>&amp;CStephanie Agbenorhevi</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pageSetUpPr fitToPage="1"/>
  </sheetPr>
  <dimension ref="A1:S56"/>
  <sheetViews>
    <sheetView view="pageLayout" zoomScaleNormal="66" workbookViewId="0">
      <selection activeCell="C56" sqref="C56"/>
    </sheetView>
  </sheetViews>
  <sheetFormatPr baseColWidth="10" defaultColWidth="8.83203125" defaultRowHeight="13"/>
  <cols>
    <col min="2" max="2" width="10.5" customWidth="1"/>
    <col min="3" max="3" width="33.33203125" customWidth="1"/>
    <col min="4" max="4" width="17.33203125" customWidth="1"/>
    <col min="5" max="5" width="17.6640625" bestFit="1" customWidth="1"/>
    <col min="6" max="6" width="15.33203125" customWidth="1"/>
    <col min="7" max="7" width="14.83203125" bestFit="1" customWidth="1"/>
    <col min="8" max="8" width="18.5" bestFit="1" customWidth="1"/>
    <col min="9" max="9" width="10" bestFit="1" customWidth="1"/>
    <col min="10" max="10" width="14.5" bestFit="1" customWidth="1"/>
    <col min="11" max="11" width="18.83203125" bestFit="1" customWidth="1"/>
    <col min="12" max="12" width="12" bestFit="1" customWidth="1"/>
    <col min="13" max="13" width="11.6640625" bestFit="1" customWidth="1"/>
    <col min="14" max="14" width="13.6640625" bestFit="1" customWidth="1"/>
    <col min="15" max="15" width="13.6640625" customWidth="1"/>
    <col min="16" max="16" width="9.33203125" bestFit="1" customWidth="1"/>
    <col min="17" max="17" width="20.6640625" customWidth="1"/>
    <col min="18" max="18" width="20" bestFit="1" customWidth="1"/>
  </cols>
  <sheetData>
    <row r="1" spans="1:19" ht="19" thickBot="1">
      <c r="A1" s="288" t="s">
        <v>185</v>
      </c>
      <c r="B1" s="289"/>
      <c r="C1" s="289"/>
      <c r="D1" s="289"/>
      <c r="E1" s="289"/>
      <c r="F1" s="289"/>
      <c r="G1" s="289"/>
      <c r="H1" s="289"/>
      <c r="I1" s="289"/>
      <c r="J1" s="289"/>
      <c r="K1" s="290"/>
      <c r="L1" s="20"/>
      <c r="M1" s="20"/>
      <c r="N1" s="20"/>
      <c r="O1" s="20"/>
      <c r="P1" s="20"/>
      <c r="Q1" s="20"/>
      <c r="R1" s="20"/>
    </row>
    <row r="2" spans="1:19">
      <c r="B2" s="10"/>
      <c r="C2" s="10"/>
      <c r="D2" s="10"/>
      <c r="E2" s="10"/>
      <c r="F2" s="10"/>
      <c r="G2" s="10"/>
      <c r="H2" s="10"/>
      <c r="I2" s="10"/>
      <c r="J2" s="10"/>
      <c r="K2" s="10"/>
      <c r="L2" s="10"/>
      <c r="M2" s="10"/>
      <c r="N2" s="10"/>
      <c r="O2" s="10"/>
      <c r="P2" s="10"/>
      <c r="Q2" s="10"/>
      <c r="R2" s="10"/>
    </row>
    <row r="3" spans="1:19">
      <c r="B3" s="10"/>
      <c r="C3" s="10"/>
      <c r="D3" s="10"/>
      <c r="E3" s="10"/>
      <c r="F3" s="10"/>
      <c r="G3" s="10"/>
      <c r="H3" s="10"/>
      <c r="I3" s="10"/>
      <c r="J3" s="10"/>
      <c r="K3" s="10"/>
      <c r="L3" s="10"/>
      <c r="M3" s="10"/>
      <c r="N3" s="10"/>
      <c r="O3" s="10"/>
      <c r="P3" s="10"/>
      <c r="Q3" s="10"/>
      <c r="R3" s="10"/>
    </row>
    <row r="7" spans="1:19">
      <c r="B7" s="1"/>
    </row>
    <row r="10" spans="1:19">
      <c r="B10" s="83" t="s">
        <v>0</v>
      </c>
      <c r="C10" s="83" t="s">
        <v>1</v>
      </c>
      <c r="D10" s="83" t="s">
        <v>2</v>
      </c>
      <c r="E10" s="83" t="s">
        <v>3</v>
      </c>
      <c r="F10" s="83" t="s">
        <v>4</v>
      </c>
      <c r="G10" s="83" t="s">
        <v>5</v>
      </c>
      <c r="H10" s="83" t="s">
        <v>16</v>
      </c>
      <c r="I10" s="83" t="s">
        <v>17</v>
      </c>
      <c r="J10" s="83" t="s">
        <v>18</v>
      </c>
      <c r="K10" s="83" t="s">
        <v>19</v>
      </c>
      <c r="L10" s="83" t="s">
        <v>20</v>
      </c>
      <c r="M10" s="83" t="s">
        <v>21</v>
      </c>
      <c r="N10" s="83" t="s">
        <v>23</v>
      </c>
      <c r="O10" s="83" t="s">
        <v>24</v>
      </c>
      <c r="P10" s="83" t="s">
        <v>25</v>
      </c>
      <c r="Q10" s="83" t="s">
        <v>26</v>
      </c>
      <c r="R10" s="83" t="s">
        <v>22</v>
      </c>
      <c r="S10" s="28" t="s">
        <v>113</v>
      </c>
    </row>
    <row r="11" spans="1:19">
      <c r="A11">
        <v>1</v>
      </c>
      <c r="B11" s="45" t="s">
        <v>171</v>
      </c>
      <c r="C11" s="45" t="s">
        <v>174</v>
      </c>
      <c r="D11" s="45" t="s">
        <v>12</v>
      </c>
      <c r="E11" s="45">
        <v>100</v>
      </c>
      <c r="F11" s="120">
        <v>40291</v>
      </c>
      <c r="G11" s="119">
        <v>28.53</v>
      </c>
      <c r="H11" s="98">
        <v>75323415209</v>
      </c>
      <c r="I11" s="96">
        <v>43.98</v>
      </c>
      <c r="J11" s="97">
        <v>43.59</v>
      </c>
      <c r="K11" s="97">
        <v>0.94</v>
      </c>
      <c r="L11" s="157">
        <f>IF((E11*G11*0.01)&gt;28,28,(E11*G11*0.01))</f>
        <v>28</v>
      </c>
      <c r="M11" s="156">
        <f>G11*E11+L11</f>
        <v>2881</v>
      </c>
      <c r="N11" s="156">
        <f>I11*E11</f>
        <v>4398</v>
      </c>
      <c r="O11" s="172">
        <f>(N11-M11)/M11</f>
        <v>0.5265532801110725</v>
      </c>
      <c r="P11" s="158">
        <f>IF(K11&lt;=0,0,(I11/K11))</f>
        <v>46.787234042553187</v>
      </c>
      <c r="Q11" s="83" t="str">
        <f>IF(H11&gt;10000000000,"Large",IF(AND(H11&gt;=5000000000,H11&lt;=10000000000),"Medium",IF(H11&lt;5000000000,"Small","N/A")))</f>
        <v>Large</v>
      </c>
      <c r="R11" s="166">
        <f>N11/SUM($N$11:$N$41)</f>
        <v>2.5994020075090683E-2</v>
      </c>
      <c r="S11" s="28">
        <f>RANK(O11,O$11:O$41)</f>
        <v>14</v>
      </c>
    </row>
    <row r="12" spans="1:19" ht="13.5" customHeight="1">
      <c r="A12">
        <v>2</v>
      </c>
      <c r="B12" s="48" t="s">
        <v>177</v>
      </c>
      <c r="C12" s="77" t="s">
        <v>144</v>
      </c>
      <c r="D12" s="45" t="s">
        <v>12</v>
      </c>
      <c r="E12" s="78">
        <v>100</v>
      </c>
      <c r="F12" s="79">
        <v>40291</v>
      </c>
      <c r="G12" s="80">
        <v>105.48</v>
      </c>
      <c r="H12" s="98">
        <v>123606162095</v>
      </c>
      <c r="I12" s="96">
        <v>162.72</v>
      </c>
      <c r="J12" s="97">
        <v>164.4</v>
      </c>
      <c r="K12" s="97">
        <v>9.06</v>
      </c>
      <c r="L12" s="157">
        <f t="shared" ref="L12:L41" si="0">IF((E12*G12*0.01)&gt;28,28,(E12*G12*0.01))</f>
        <v>28</v>
      </c>
      <c r="M12" s="156">
        <f t="shared" ref="M12:M41" si="1">G12*E12+L12</f>
        <v>10576</v>
      </c>
      <c r="N12" s="156">
        <f t="shared" ref="N12:N41" si="2">I12*E12</f>
        <v>16272</v>
      </c>
      <c r="O12" s="172">
        <f t="shared" ref="O12:O41" si="3">(N12-M12)/M12</f>
        <v>0.53857791225416041</v>
      </c>
      <c r="P12" s="158">
        <f t="shared" ref="P12:P41" si="4">IF(K12&lt;=0,0,(I12/K12))</f>
        <v>17.960264900662249</v>
      </c>
      <c r="Q12" s="83" t="str">
        <f t="shared" ref="Q12:Q41" si="5">IF(H12&gt;10000000000,"Large",IF(AND(H12&gt;=5000000000,H12&lt;=10000000000),"Medium",IF(H12&lt;5000000000,"Small","N/A")))</f>
        <v>Large</v>
      </c>
      <c r="R12" s="166">
        <f t="shared" ref="R12:R41" si="6">N12/SUM($N$11:$N$41)</f>
        <v>9.6174328026802092E-2</v>
      </c>
      <c r="S12" s="28">
        <f t="shared" ref="S12:S41" si="7">RANK(O12,O$11:O$41)</f>
        <v>13</v>
      </c>
    </row>
    <row r="13" spans="1:19" ht="14.25" customHeight="1">
      <c r="A13">
        <v>3</v>
      </c>
      <c r="B13" s="48" t="s">
        <v>168</v>
      </c>
      <c r="C13" s="77" t="s">
        <v>66</v>
      </c>
      <c r="D13" s="77" t="s">
        <v>6</v>
      </c>
      <c r="E13" s="78">
        <v>100</v>
      </c>
      <c r="F13" s="79">
        <v>40291</v>
      </c>
      <c r="G13" s="80">
        <v>67.88</v>
      </c>
      <c r="H13" s="40">
        <v>15857072051</v>
      </c>
      <c r="I13" s="38">
        <v>99.59</v>
      </c>
      <c r="J13" s="39">
        <v>98.04</v>
      </c>
      <c r="K13" s="39">
        <v>5.59</v>
      </c>
      <c r="L13" s="157">
        <f t="shared" si="0"/>
        <v>28</v>
      </c>
      <c r="M13" s="156">
        <f t="shared" si="1"/>
        <v>6816</v>
      </c>
      <c r="N13" s="156">
        <f t="shared" si="2"/>
        <v>9959</v>
      </c>
      <c r="O13" s="172">
        <f t="shared" si="3"/>
        <v>0.46112089201877932</v>
      </c>
      <c r="P13" s="158">
        <f t="shared" si="4"/>
        <v>17.815742397137747</v>
      </c>
      <c r="Q13" s="83" t="str">
        <f t="shared" si="5"/>
        <v>Large</v>
      </c>
      <c r="R13" s="166">
        <f t="shared" si="6"/>
        <v>5.8861856736659411E-2</v>
      </c>
      <c r="S13" s="28">
        <f t="shared" si="7"/>
        <v>15</v>
      </c>
    </row>
    <row r="14" spans="1:19" ht="14">
      <c r="A14">
        <v>4</v>
      </c>
      <c r="B14" s="48" t="s">
        <v>91</v>
      </c>
      <c r="C14" s="77" t="s">
        <v>145</v>
      </c>
      <c r="D14" s="77" t="s">
        <v>7</v>
      </c>
      <c r="E14" s="78">
        <v>100</v>
      </c>
      <c r="F14" s="79">
        <v>40291</v>
      </c>
      <c r="G14" s="80">
        <v>34.46</v>
      </c>
      <c r="H14" s="40">
        <v>17434838571</v>
      </c>
      <c r="I14" s="38">
        <v>57.5</v>
      </c>
      <c r="J14" s="39">
        <v>57.28</v>
      </c>
      <c r="K14" s="39">
        <v>1.61</v>
      </c>
      <c r="L14" s="157">
        <f t="shared" si="0"/>
        <v>28</v>
      </c>
      <c r="M14" s="156">
        <f t="shared" si="1"/>
        <v>3474</v>
      </c>
      <c r="N14" s="156">
        <f t="shared" si="2"/>
        <v>5750</v>
      </c>
      <c r="O14" s="172">
        <f t="shared" si="3"/>
        <v>0.65515256188831317</v>
      </c>
      <c r="P14" s="158">
        <f t="shared" si="4"/>
        <v>35.714285714285715</v>
      </c>
      <c r="Q14" s="83" t="str">
        <f t="shared" si="5"/>
        <v>Large</v>
      </c>
      <c r="R14" s="166">
        <f t="shared" si="6"/>
        <v>3.3984905737101279E-2</v>
      </c>
      <c r="S14" s="28">
        <f t="shared" si="7"/>
        <v>11</v>
      </c>
    </row>
    <row r="15" spans="1:19" ht="14">
      <c r="A15">
        <v>5</v>
      </c>
      <c r="B15" s="48" t="s">
        <v>44</v>
      </c>
      <c r="C15" s="77" t="s">
        <v>80</v>
      </c>
      <c r="D15" s="77" t="s">
        <v>7</v>
      </c>
      <c r="E15" s="78">
        <v>200</v>
      </c>
      <c r="F15" s="79">
        <v>40291</v>
      </c>
      <c r="G15" s="80">
        <v>23.15</v>
      </c>
      <c r="H15" s="40">
        <v>17224304201</v>
      </c>
      <c r="I15" s="38">
        <v>40.72</v>
      </c>
      <c r="J15" s="39">
        <v>40.479999999999997</v>
      </c>
      <c r="K15" s="39">
        <v>1.38</v>
      </c>
      <c r="L15" s="157">
        <f t="shared" si="0"/>
        <v>28</v>
      </c>
      <c r="M15" s="156">
        <f t="shared" si="1"/>
        <v>4658</v>
      </c>
      <c r="N15" s="156">
        <f t="shared" si="2"/>
        <v>8144</v>
      </c>
      <c r="O15" s="172">
        <f t="shared" si="3"/>
        <v>0.74838986689566334</v>
      </c>
      <c r="P15" s="158">
        <f t="shared" si="4"/>
        <v>29.507246376811597</v>
      </c>
      <c r="Q15" s="83" t="str">
        <f t="shared" si="5"/>
        <v>Large</v>
      </c>
      <c r="R15" s="166">
        <f t="shared" si="6"/>
        <v>4.8134447360513533E-2</v>
      </c>
      <c r="S15" s="28">
        <f t="shared" si="7"/>
        <v>10</v>
      </c>
    </row>
    <row r="16" spans="1:19" ht="14">
      <c r="A16">
        <v>6</v>
      </c>
      <c r="B16" s="48" t="s">
        <v>92</v>
      </c>
      <c r="C16" s="77" t="s">
        <v>69</v>
      </c>
      <c r="D16" s="77" t="s">
        <v>8</v>
      </c>
      <c r="E16" s="78">
        <v>100</v>
      </c>
      <c r="F16" s="79">
        <v>40291</v>
      </c>
      <c r="G16" s="80">
        <v>69.41</v>
      </c>
      <c r="H16" s="40">
        <v>20590550000</v>
      </c>
      <c r="I16" s="38">
        <v>39.700000000000003</v>
      </c>
      <c r="J16" s="39">
        <v>39.25</v>
      </c>
      <c r="K16" s="39">
        <v>-6.52</v>
      </c>
      <c r="L16" s="157">
        <f t="shared" si="0"/>
        <v>28</v>
      </c>
      <c r="M16" s="156">
        <f t="shared" si="1"/>
        <v>6969</v>
      </c>
      <c r="N16" s="156">
        <f t="shared" si="2"/>
        <v>3970.0000000000005</v>
      </c>
      <c r="O16" s="172">
        <f t="shared" si="3"/>
        <v>-0.43033433778160418</v>
      </c>
      <c r="P16" s="158">
        <f t="shared" si="4"/>
        <v>0</v>
      </c>
      <c r="Q16" s="83" t="str">
        <f t="shared" si="5"/>
        <v>Large</v>
      </c>
      <c r="R16" s="166">
        <f t="shared" si="6"/>
        <v>2.3464361004572536E-2</v>
      </c>
      <c r="S16" s="28">
        <f t="shared" si="7"/>
        <v>27</v>
      </c>
    </row>
    <row r="17" spans="1:19" ht="14">
      <c r="A17">
        <v>7</v>
      </c>
      <c r="B17" s="48" t="s">
        <v>93</v>
      </c>
      <c r="C17" s="77" t="s">
        <v>70</v>
      </c>
      <c r="D17" s="77" t="s">
        <v>7</v>
      </c>
      <c r="E17" s="78">
        <v>100</v>
      </c>
      <c r="F17" s="79">
        <v>40291</v>
      </c>
      <c r="G17" s="80">
        <v>70.63</v>
      </c>
      <c r="H17" s="40">
        <v>33323671651</v>
      </c>
      <c r="I17" s="38">
        <v>57.88</v>
      </c>
      <c r="J17" s="39">
        <v>57.84</v>
      </c>
      <c r="K17" s="39">
        <v>2.7</v>
      </c>
      <c r="L17" s="157">
        <f t="shared" si="0"/>
        <v>28</v>
      </c>
      <c r="M17" s="156">
        <f t="shared" si="1"/>
        <v>7091</v>
      </c>
      <c r="N17" s="156">
        <f t="shared" si="2"/>
        <v>5788</v>
      </c>
      <c r="O17" s="172">
        <f t="shared" si="3"/>
        <v>-0.18375405443519954</v>
      </c>
      <c r="P17" s="158">
        <f t="shared" si="4"/>
        <v>21.437037037037037</v>
      </c>
      <c r="Q17" s="83" t="str">
        <f t="shared" si="5"/>
        <v>Large</v>
      </c>
      <c r="R17" s="166">
        <f t="shared" si="6"/>
        <v>3.4209501635885597E-2</v>
      </c>
      <c r="S17" s="28">
        <f t="shared" si="7"/>
        <v>25</v>
      </c>
    </row>
    <row r="18" spans="1:19" ht="14">
      <c r="A18">
        <v>8</v>
      </c>
      <c r="B18" s="48" t="s">
        <v>173</v>
      </c>
      <c r="C18" s="77" t="s">
        <v>175</v>
      </c>
      <c r="D18" s="77" t="s">
        <v>12</v>
      </c>
      <c r="E18" s="78">
        <v>150</v>
      </c>
      <c r="F18" s="79">
        <v>40291</v>
      </c>
      <c r="G18" s="80">
        <v>20.14</v>
      </c>
      <c r="H18" s="40">
        <v>109621013986</v>
      </c>
      <c r="I18" s="38">
        <v>40.71</v>
      </c>
      <c r="J18" s="39">
        <v>40.840000000000003</v>
      </c>
      <c r="K18" s="39">
        <v>0.37</v>
      </c>
      <c r="L18" s="157">
        <f t="shared" si="0"/>
        <v>28</v>
      </c>
      <c r="M18" s="156">
        <f t="shared" si="1"/>
        <v>3049</v>
      </c>
      <c r="N18" s="156">
        <f t="shared" si="2"/>
        <v>6106.5</v>
      </c>
      <c r="O18" s="172">
        <f t="shared" si="3"/>
        <v>1.002787799278452</v>
      </c>
      <c r="P18" s="158">
        <f t="shared" si="4"/>
        <v>110.02702702702703</v>
      </c>
      <c r="Q18" s="83" t="str">
        <f t="shared" si="5"/>
        <v>Large</v>
      </c>
      <c r="R18" s="166">
        <f t="shared" si="6"/>
        <v>3.6091969892801556E-2</v>
      </c>
      <c r="S18" s="28">
        <f t="shared" si="7"/>
        <v>7</v>
      </c>
    </row>
    <row r="19" spans="1:19" ht="14">
      <c r="A19">
        <v>9</v>
      </c>
      <c r="B19" s="43" t="s">
        <v>94</v>
      </c>
      <c r="C19" s="44" t="s">
        <v>146</v>
      </c>
      <c r="D19" s="77" t="s">
        <v>9</v>
      </c>
      <c r="E19" s="78">
        <v>30</v>
      </c>
      <c r="F19" s="79">
        <v>40291</v>
      </c>
      <c r="G19" s="80">
        <v>40.53</v>
      </c>
      <c r="H19" s="40">
        <v>11939394310</v>
      </c>
      <c r="I19" s="38">
        <v>96.01</v>
      </c>
      <c r="J19" s="39">
        <v>95.51</v>
      </c>
      <c r="K19" s="39">
        <v>4.34</v>
      </c>
      <c r="L19" s="157">
        <f t="shared" si="0"/>
        <v>12.159000000000001</v>
      </c>
      <c r="M19" s="156">
        <f t="shared" si="1"/>
        <v>1228.0590000000002</v>
      </c>
      <c r="N19" s="156">
        <f t="shared" si="2"/>
        <v>2880.3</v>
      </c>
      <c r="O19" s="172">
        <f t="shared" si="3"/>
        <v>1.3454084860743658</v>
      </c>
      <c r="P19" s="158">
        <f t="shared" si="4"/>
        <v>22.122119815668206</v>
      </c>
      <c r="Q19" s="83" t="str">
        <f t="shared" si="5"/>
        <v>Large</v>
      </c>
      <c r="R19" s="166">
        <f t="shared" si="6"/>
        <v>1.7023778086012666E-2</v>
      </c>
      <c r="S19" s="28">
        <f t="shared" si="7"/>
        <v>3</v>
      </c>
    </row>
    <row r="20" spans="1:19" ht="14">
      <c r="A20">
        <v>10</v>
      </c>
      <c r="B20" s="48" t="s">
        <v>52</v>
      </c>
      <c r="C20" s="77" t="s">
        <v>147</v>
      </c>
      <c r="D20" s="45" t="s">
        <v>10</v>
      </c>
      <c r="E20" s="23">
        <v>100</v>
      </c>
      <c r="F20" s="46">
        <v>40291</v>
      </c>
      <c r="G20" s="47">
        <v>18.53</v>
      </c>
      <c r="H20" s="40">
        <v>31076572682</v>
      </c>
      <c r="I20" s="38">
        <v>18.52</v>
      </c>
      <c r="J20" s="39">
        <v>18.38</v>
      </c>
      <c r="K20" s="39">
        <v>1.46</v>
      </c>
      <c r="L20" s="157">
        <f t="shared" si="0"/>
        <v>18.53</v>
      </c>
      <c r="M20" s="156">
        <f t="shared" si="1"/>
        <v>1871.53</v>
      </c>
      <c r="N20" s="156">
        <f t="shared" si="2"/>
        <v>1852</v>
      </c>
      <c r="O20" s="172">
        <f t="shared" si="3"/>
        <v>-1.0435312284601355E-2</v>
      </c>
      <c r="P20" s="158">
        <f t="shared" si="4"/>
        <v>12.684931506849315</v>
      </c>
      <c r="Q20" s="83" t="str">
        <f t="shared" si="5"/>
        <v>Large</v>
      </c>
      <c r="R20" s="166">
        <f t="shared" si="6"/>
        <v>1.0946094856541142E-2</v>
      </c>
      <c r="S20" s="28">
        <f t="shared" si="7"/>
        <v>21</v>
      </c>
    </row>
    <row r="21" spans="1:19" ht="14">
      <c r="A21">
        <v>11</v>
      </c>
      <c r="B21" s="48" t="s">
        <v>95</v>
      </c>
      <c r="C21" s="77" t="s">
        <v>148</v>
      </c>
      <c r="D21" s="77" t="s">
        <v>7</v>
      </c>
      <c r="E21" s="78">
        <v>100</v>
      </c>
      <c r="F21" s="79">
        <v>40291</v>
      </c>
      <c r="G21" s="80">
        <v>48.72</v>
      </c>
      <c r="H21" s="40">
        <v>23104464730</v>
      </c>
      <c r="I21" s="38">
        <v>108.8</v>
      </c>
      <c r="J21" s="39">
        <v>108.63</v>
      </c>
      <c r="K21" s="39">
        <v>3.34</v>
      </c>
      <c r="L21" s="157">
        <f t="shared" si="0"/>
        <v>28</v>
      </c>
      <c r="M21" s="156">
        <f t="shared" si="1"/>
        <v>4900</v>
      </c>
      <c r="N21" s="156">
        <f t="shared" si="2"/>
        <v>10880</v>
      </c>
      <c r="O21" s="172">
        <f t="shared" si="3"/>
        <v>1.2204081632653061</v>
      </c>
      <c r="P21" s="158">
        <f t="shared" si="4"/>
        <v>32.574850299401199</v>
      </c>
      <c r="Q21" s="83" t="str">
        <f t="shared" si="5"/>
        <v>Large</v>
      </c>
      <c r="R21" s="166">
        <f t="shared" si="6"/>
        <v>6.4305352072984684E-2</v>
      </c>
      <c r="S21" s="28">
        <f t="shared" si="7"/>
        <v>5</v>
      </c>
    </row>
    <row r="22" spans="1:19" ht="14">
      <c r="A22">
        <v>12</v>
      </c>
      <c r="B22" s="48" t="s">
        <v>96</v>
      </c>
      <c r="C22" s="77" t="s">
        <v>71</v>
      </c>
      <c r="D22" s="77" t="s">
        <v>10</v>
      </c>
      <c r="E22" s="78">
        <v>50</v>
      </c>
      <c r="F22" s="79">
        <v>40291</v>
      </c>
      <c r="G22" s="80">
        <v>126.99</v>
      </c>
      <c r="H22" s="40">
        <v>152508037371</v>
      </c>
      <c r="I22" s="38">
        <v>162.30000000000001</v>
      </c>
      <c r="J22" s="39">
        <v>161.69</v>
      </c>
      <c r="K22" s="39">
        <v>12.38</v>
      </c>
      <c r="L22" s="157">
        <f t="shared" si="0"/>
        <v>28</v>
      </c>
      <c r="M22" s="156">
        <f t="shared" si="1"/>
        <v>6377.5</v>
      </c>
      <c r="N22" s="156">
        <f t="shared" si="2"/>
        <v>8115.0000000000009</v>
      </c>
      <c r="O22" s="172">
        <f t="shared" si="3"/>
        <v>0.27244217953743644</v>
      </c>
      <c r="P22" s="158">
        <f t="shared" si="4"/>
        <v>13.109854604200324</v>
      </c>
      <c r="Q22" s="83" t="str">
        <f t="shared" si="5"/>
        <v>Large</v>
      </c>
      <c r="R22" s="166">
        <f t="shared" si="6"/>
        <v>4.7963045227230765E-2</v>
      </c>
      <c r="S22" s="28">
        <f t="shared" si="7"/>
        <v>17</v>
      </c>
    </row>
    <row r="23" spans="1:19" ht="14">
      <c r="A23">
        <v>13</v>
      </c>
      <c r="B23" s="48" t="s">
        <v>97</v>
      </c>
      <c r="C23" s="77" t="s">
        <v>149</v>
      </c>
      <c r="D23" s="77" t="s">
        <v>11</v>
      </c>
      <c r="E23" s="78">
        <v>100</v>
      </c>
      <c r="F23" s="79">
        <v>40291</v>
      </c>
      <c r="G23" s="80">
        <v>56.48</v>
      </c>
      <c r="H23" s="40">
        <v>3457914174</v>
      </c>
      <c r="I23" s="38">
        <v>39.96</v>
      </c>
      <c r="J23" s="39">
        <v>39</v>
      </c>
      <c r="K23" s="39">
        <v>2.0699999999999998</v>
      </c>
      <c r="L23" s="157">
        <f t="shared" si="0"/>
        <v>28</v>
      </c>
      <c r="M23" s="156">
        <f t="shared" si="1"/>
        <v>5676</v>
      </c>
      <c r="N23" s="156">
        <f t="shared" si="2"/>
        <v>3996</v>
      </c>
      <c r="O23" s="172">
        <f t="shared" si="3"/>
        <v>-0.29598308668076112</v>
      </c>
      <c r="P23" s="158">
        <f t="shared" si="4"/>
        <v>19.304347826086957</v>
      </c>
      <c r="Q23" s="83" t="str">
        <f t="shared" si="5"/>
        <v>Small</v>
      </c>
      <c r="R23" s="166">
        <f t="shared" si="6"/>
        <v>2.3618031882688122E-2</v>
      </c>
      <c r="S23" s="28">
        <f t="shared" si="7"/>
        <v>26</v>
      </c>
    </row>
    <row r="24" spans="1:19" ht="14">
      <c r="A24">
        <v>14</v>
      </c>
      <c r="B24" s="48" t="s">
        <v>98</v>
      </c>
      <c r="C24" s="77" t="s">
        <v>72</v>
      </c>
      <c r="D24" s="77" t="s">
        <v>11</v>
      </c>
      <c r="E24" s="78">
        <v>100</v>
      </c>
      <c r="F24" s="79">
        <v>40291</v>
      </c>
      <c r="G24" s="80">
        <v>34.229999999999997</v>
      </c>
      <c r="H24" s="40">
        <v>38749953547</v>
      </c>
      <c r="I24" s="38">
        <v>41.73</v>
      </c>
      <c r="J24" s="39">
        <v>41.28</v>
      </c>
      <c r="K24" s="39">
        <v>-1.64</v>
      </c>
      <c r="L24" s="157">
        <f t="shared" si="0"/>
        <v>28</v>
      </c>
      <c r="M24" s="156">
        <f t="shared" si="1"/>
        <v>3450.9999999999995</v>
      </c>
      <c r="N24" s="156">
        <f t="shared" si="2"/>
        <v>4173</v>
      </c>
      <c r="O24" s="172">
        <f t="shared" si="3"/>
        <v>0.20921472037090713</v>
      </c>
      <c r="P24" s="158">
        <f t="shared" si="4"/>
        <v>0</v>
      </c>
      <c r="Q24" s="83" t="str">
        <f t="shared" si="5"/>
        <v>Large</v>
      </c>
      <c r="R24" s="166">
        <f t="shared" si="6"/>
        <v>2.4664175937551935E-2</v>
      </c>
      <c r="S24" s="28">
        <f t="shared" si="7"/>
        <v>18</v>
      </c>
    </row>
    <row r="25" spans="1:19" ht="14">
      <c r="A25">
        <v>15</v>
      </c>
      <c r="B25" s="48" t="s">
        <v>99</v>
      </c>
      <c r="C25" s="77" t="s">
        <v>73</v>
      </c>
      <c r="D25" s="77" t="s">
        <v>12</v>
      </c>
      <c r="E25" s="78">
        <v>88</v>
      </c>
      <c r="F25" s="79">
        <v>40291</v>
      </c>
      <c r="G25" s="80">
        <v>65.040000000000006</v>
      </c>
      <c r="H25" s="40">
        <v>329020961069</v>
      </c>
      <c r="I25" s="38">
        <v>121.87</v>
      </c>
      <c r="J25" s="39">
        <v>121.37</v>
      </c>
      <c r="K25" s="39">
        <v>5.93</v>
      </c>
      <c r="L25" s="157">
        <f t="shared" si="0"/>
        <v>28</v>
      </c>
      <c r="M25" s="156">
        <f t="shared" si="1"/>
        <v>5751.52</v>
      </c>
      <c r="N25" s="156">
        <f t="shared" si="2"/>
        <v>10724.560000000001</v>
      </c>
      <c r="O25" s="172">
        <f t="shared" si="3"/>
        <v>0.86464795393217797</v>
      </c>
      <c r="P25" s="158">
        <f t="shared" si="4"/>
        <v>20.551433389544691</v>
      </c>
      <c r="Q25" s="83" t="str">
        <f t="shared" si="5"/>
        <v>Large</v>
      </c>
      <c r="R25" s="166">
        <f t="shared" si="6"/>
        <v>6.3386636638589025E-2</v>
      </c>
      <c r="S25" s="28">
        <f t="shared" si="7"/>
        <v>9</v>
      </c>
    </row>
    <row r="26" spans="1:19" ht="14">
      <c r="A26">
        <v>16</v>
      </c>
      <c r="B26" s="48" t="s">
        <v>100</v>
      </c>
      <c r="C26" s="77" t="s">
        <v>150</v>
      </c>
      <c r="D26" s="77" t="s">
        <v>13</v>
      </c>
      <c r="E26" s="78">
        <v>200</v>
      </c>
      <c r="F26" s="79">
        <v>40291</v>
      </c>
      <c r="G26" s="80">
        <v>49.48</v>
      </c>
      <c r="H26" s="40">
        <v>6752919598</v>
      </c>
      <c r="I26" s="38">
        <v>40.76</v>
      </c>
      <c r="J26" s="39">
        <v>39.18</v>
      </c>
      <c r="K26" s="39">
        <v>3.11</v>
      </c>
      <c r="L26" s="157">
        <f t="shared" si="0"/>
        <v>28</v>
      </c>
      <c r="M26" s="156">
        <f t="shared" si="1"/>
        <v>9924</v>
      </c>
      <c r="N26" s="156">
        <f t="shared" si="2"/>
        <v>8152</v>
      </c>
      <c r="O26" s="172">
        <f t="shared" si="3"/>
        <v>-0.17855703345425231</v>
      </c>
      <c r="P26" s="158">
        <f t="shared" si="4"/>
        <v>13.106109324758842</v>
      </c>
      <c r="Q26" s="83" t="str">
        <f t="shared" si="5"/>
        <v>Medium</v>
      </c>
      <c r="R26" s="166">
        <f t="shared" si="6"/>
        <v>4.8181730707626019E-2</v>
      </c>
      <c r="S26" s="28">
        <f t="shared" si="7"/>
        <v>24</v>
      </c>
    </row>
    <row r="27" spans="1:19" ht="14">
      <c r="A27">
        <v>17</v>
      </c>
      <c r="B27" s="48" t="s">
        <v>122</v>
      </c>
      <c r="C27" s="77" t="s">
        <v>151</v>
      </c>
      <c r="D27" s="77" t="s">
        <v>12</v>
      </c>
      <c r="E27" s="78">
        <v>50</v>
      </c>
      <c r="F27" s="79">
        <v>40291</v>
      </c>
      <c r="G27" s="80">
        <v>35.46</v>
      </c>
      <c r="H27" s="40">
        <v>89250333937</v>
      </c>
      <c r="I27" s="38">
        <v>81.94</v>
      </c>
      <c r="J27" s="39">
        <v>80.89</v>
      </c>
      <c r="K27" s="39">
        <v>2.58</v>
      </c>
      <c r="L27" s="157">
        <f t="shared" si="0"/>
        <v>17.73</v>
      </c>
      <c r="M27" s="156">
        <f t="shared" si="1"/>
        <v>1790.73</v>
      </c>
      <c r="N27" s="156">
        <f t="shared" si="2"/>
        <v>4097</v>
      </c>
      <c r="O27" s="172">
        <f t="shared" si="3"/>
        <v>1.2878937639956889</v>
      </c>
      <c r="P27" s="158">
        <f t="shared" si="4"/>
        <v>31.759689922480618</v>
      </c>
      <c r="Q27" s="83" t="str">
        <f t="shared" si="5"/>
        <v>Large</v>
      </c>
      <c r="R27" s="166">
        <f t="shared" si="6"/>
        <v>2.4214984139983294E-2</v>
      </c>
      <c r="S27" s="28">
        <f t="shared" si="7"/>
        <v>4</v>
      </c>
    </row>
    <row r="28" spans="1:19" ht="14">
      <c r="A28">
        <v>18</v>
      </c>
      <c r="B28" s="48" t="s">
        <v>165</v>
      </c>
      <c r="C28" s="77" t="s">
        <v>152</v>
      </c>
      <c r="D28" s="77" t="s">
        <v>13</v>
      </c>
      <c r="E28" s="78">
        <v>150</v>
      </c>
      <c r="F28" s="79">
        <v>40291</v>
      </c>
      <c r="G28" s="80">
        <v>29.48</v>
      </c>
      <c r="H28" s="40">
        <v>8877882353</v>
      </c>
      <c r="I28" s="38">
        <v>30.01</v>
      </c>
      <c r="J28" s="39">
        <v>29.09</v>
      </c>
      <c r="K28" s="39">
        <v>1.99</v>
      </c>
      <c r="L28" s="157">
        <f t="shared" si="0"/>
        <v>28</v>
      </c>
      <c r="M28" s="156">
        <f t="shared" si="1"/>
        <v>4450</v>
      </c>
      <c r="N28" s="156">
        <f t="shared" si="2"/>
        <v>4501.5</v>
      </c>
      <c r="O28" s="172">
        <f t="shared" si="3"/>
        <v>1.1573033707865169E-2</v>
      </c>
      <c r="P28" s="158">
        <f t="shared" si="4"/>
        <v>15.080402010050252</v>
      </c>
      <c r="Q28" s="83" t="str">
        <f t="shared" si="5"/>
        <v>Medium</v>
      </c>
      <c r="R28" s="166">
        <f t="shared" si="6"/>
        <v>2.6605748378358506E-2</v>
      </c>
      <c r="S28" s="28">
        <f t="shared" si="7"/>
        <v>20</v>
      </c>
    </row>
    <row r="29" spans="1:19" ht="14">
      <c r="A29">
        <v>19</v>
      </c>
      <c r="B29" s="48" t="s">
        <v>101</v>
      </c>
      <c r="C29" s="77" t="s">
        <v>153</v>
      </c>
      <c r="D29" s="77" t="s">
        <v>9</v>
      </c>
      <c r="E29" s="78">
        <v>50</v>
      </c>
      <c r="F29" s="79">
        <v>40291</v>
      </c>
      <c r="G29" s="80">
        <v>23.54</v>
      </c>
      <c r="H29" s="40">
        <v>8600521944</v>
      </c>
      <c r="I29" s="38">
        <v>25.21</v>
      </c>
      <c r="J29" s="39">
        <v>25.11</v>
      </c>
      <c r="K29" s="39">
        <v>0.92</v>
      </c>
      <c r="L29" s="157">
        <f t="shared" si="0"/>
        <v>11.77</v>
      </c>
      <c r="M29" s="156">
        <f t="shared" si="1"/>
        <v>1188.77</v>
      </c>
      <c r="N29" s="156">
        <f t="shared" si="2"/>
        <v>1260.5</v>
      </c>
      <c r="O29" s="172">
        <f t="shared" si="3"/>
        <v>6.0339678827695871E-2</v>
      </c>
      <c r="P29" s="158">
        <f t="shared" si="4"/>
        <v>27.402173913043477</v>
      </c>
      <c r="Q29" s="83" t="str">
        <f t="shared" si="5"/>
        <v>Medium</v>
      </c>
      <c r="R29" s="166">
        <f t="shared" si="6"/>
        <v>7.4500823794115059E-3</v>
      </c>
      <c r="S29" s="28">
        <f t="shared" si="7"/>
        <v>19</v>
      </c>
    </row>
    <row r="30" spans="1:19" ht="14">
      <c r="A30">
        <v>20</v>
      </c>
      <c r="B30" s="48" t="s">
        <v>102</v>
      </c>
      <c r="C30" s="77" t="s">
        <v>74</v>
      </c>
      <c r="D30" s="77" t="s">
        <v>14</v>
      </c>
      <c r="E30" s="78">
        <v>240</v>
      </c>
      <c r="F30" s="79">
        <v>40291</v>
      </c>
      <c r="G30" s="80">
        <v>10.48</v>
      </c>
      <c r="H30" s="40">
        <v>1172951869</v>
      </c>
      <c r="I30" s="38">
        <v>8.7200000000000006</v>
      </c>
      <c r="J30" s="39">
        <v>8.6999999999999993</v>
      </c>
      <c r="K30" s="39">
        <v>-2.54</v>
      </c>
      <c r="L30" s="157">
        <f t="shared" si="0"/>
        <v>25.152000000000005</v>
      </c>
      <c r="M30" s="156">
        <f t="shared" si="1"/>
        <v>2540.3520000000003</v>
      </c>
      <c r="N30" s="156">
        <f t="shared" si="2"/>
        <v>2092.8000000000002</v>
      </c>
      <c r="O30" s="172">
        <f t="shared" si="3"/>
        <v>-0.17617715970070291</v>
      </c>
      <c r="P30" s="158">
        <f t="shared" si="4"/>
        <v>0</v>
      </c>
      <c r="Q30" s="83" t="str">
        <f t="shared" si="5"/>
        <v>Small</v>
      </c>
      <c r="R30" s="166">
        <f t="shared" si="6"/>
        <v>1.2369323604627055E-2</v>
      </c>
      <c r="S30" s="28">
        <f t="shared" si="7"/>
        <v>23</v>
      </c>
    </row>
    <row r="31" spans="1:19" ht="14">
      <c r="A31">
        <v>21</v>
      </c>
      <c r="B31" s="48" t="s">
        <v>103</v>
      </c>
      <c r="C31" s="77" t="s">
        <v>75</v>
      </c>
      <c r="D31" s="77" t="s">
        <v>14</v>
      </c>
      <c r="E31" s="78">
        <v>250</v>
      </c>
      <c r="F31" s="79">
        <v>40291</v>
      </c>
      <c r="G31" s="80">
        <v>19.21</v>
      </c>
      <c r="H31" s="40">
        <v>34041939137</v>
      </c>
      <c r="I31" s="38">
        <v>17.25</v>
      </c>
      <c r="J31" s="39">
        <v>16.96</v>
      </c>
      <c r="K31" s="39">
        <v>1.41</v>
      </c>
      <c r="L31" s="157">
        <f t="shared" si="0"/>
        <v>28</v>
      </c>
      <c r="M31" s="156">
        <f t="shared" si="1"/>
        <v>4830.5</v>
      </c>
      <c r="N31" s="156">
        <f t="shared" si="2"/>
        <v>4312.5</v>
      </c>
      <c r="O31" s="172">
        <f t="shared" si="3"/>
        <v>-0.10723527585136114</v>
      </c>
      <c r="P31" s="158">
        <f t="shared" si="4"/>
        <v>12.23404255319149</v>
      </c>
      <c r="Q31" s="83" t="str">
        <f t="shared" si="5"/>
        <v>Large</v>
      </c>
      <c r="R31" s="166">
        <f t="shared" si="6"/>
        <v>2.5488679302825959E-2</v>
      </c>
      <c r="S31" s="28">
        <f t="shared" si="7"/>
        <v>22</v>
      </c>
    </row>
    <row r="32" spans="1:19" ht="14">
      <c r="A32">
        <v>22</v>
      </c>
      <c r="B32" s="48" t="s">
        <v>167</v>
      </c>
      <c r="C32" s="77" t="s">
        <v>154</v>
      </c>
      <c r="D32" s="77" t="s">
        <v>10</v>
      </c>
      <c r="E32" s="78">
        <v>150</v>
      </c>
      <c r="F32" s="79">
        <v>40291</v>
      </c>
      <c r="G32" s="80">
        <v>30.96</v>
      </c>
      <c r="H32" s="40">
        <v>502598539492</v>
      </c>
      <c r="I32" s="38">
        <v>65.5</v>
      </c>
      <c r="J32" s="39">
        <v>65.040000000000006</v>
      </c>
      <c r="K32" s="39">
        <v>2.13</v>
      </c>
      <c r="L32" s="157">
        <f t="shared" si="0"/>
        <v>28</v>
      </c>
      <c r="M32" s="156">
        <f t="shared" si="1"/>
        <v>4672</v>
      </c>
      <c r="N32" s="156">
        <f t="shared" si="2"/>
        <v>9825</v>
      </c>
      <c r="O32" s="172">
        <f t="shared" si="3"/>
        <v>1.1029537671232876</v>
      </c>
      <c r="P32" s="158">
        <f t="shared" si="4"/>
        <v>30.751173708920188</v>
      </c>
      <c r="Q32" s="83" t="str">
        <f t="shared" si="5"/>
        <v>Large</v>
      </c>
      <c r="R32" s="166">
        <f t="shared" si="6"/>
        <v>5.8069860672525231E-2</v>
      </c>
      <c r="S32" s="28">
        <f t="shared" si="7"/>
        <v>6</v>
      </c>
    </row>
    <row r="33" spans="1:19" ht="14">
      <c r="A33">
        <v>23</v>
      </c>
      <c r="B33" s="77" t="s">
        <v>104</v>
      </c>
      <c r="C33" s="77" t="s">
        <v>76</v>
      </c>
      <c r="D33" s="77" t="s">
        <v>8</v>
      </c>
      <c r="E33" s="78">
        <v>50</v>
      </c>
      <c r="F33" s="79">
        <v>40291</v>
      </c>
      <c r="G33" s="80">
        <v>22.61</v>
      </c>
      <c r="H33" s="40">
        <v>3412743063</v>
      </c>
      <c r="I33" s="38">
        <v>11.77</v>
      </c>
      <c r="J33" s="39">
        <v>11.96</v>
      </c>
      <c r="K33" s="39">
        <v>-3.64</v>
      </c>
      <c r="L33" s="157">
        <f t="shared" si="0"/>
        <v>11.305</v>
      </c>
      <c r="M33" s="156">
        <f t="shared" si="1"/>
        <v>1141.8050000000001</v>
      </c>
      <c r="N33" s="156">
        <f t="shared" si="2"/>
        <v>588.5</v>
      </c>
      <c r="O33" s="172">
        <f t="shared" si="3"/>
        <v>-0.48458799882641962</v>
      </c>
      <c r="P33" s="158">
        <f t="shared" si="4"/>
        <v>0</v>
      </c>
      <c r="Q33" s="83" t="str">
        <f t="shared" si="5"/>
        <v>Small</v>
      </c>
      <c r="R33" s="166">
        <f t="shared" si="6"/>
        <v>3.4782812219624525E-3</v>
      </c>
      <c r="S33" s="28">
        <f t="shared" si="7"/>
        <v>28</v>
      </c>
    </row>
    <row r="34" spans="1:19" ht="14">
      <c r="A34">
        <v>24</v>
      </c>
      <c r="B34" s="77" t="s">
        <v>105</v>
      </c>
      <c r="C34" s="77" t="s">
        <v>77</v>
      </c>
      <c r="D34" s="77" t="s">
        <v>10</v>
      </c>
      <c r="E34" s="78">
        <v>200</v>
      </c>
      <c r="F34" s="79">
        <v>40291</v>
      </c>
      <c r="G34" s="80">
        <v>14.32</v>
      </c>
      <c r="H34" s="98">
        <v>4504830000</v>
      </c>
      <c r="I34" s="96">
        <v>35.89</v>
      </c>
      <c r="J34" s="97">
        <v>36.299999999999997</v>
      </c>
      <c r="K34" s="97">
        <v>1.49</v>
      </c>
      <c r="L34" s="157">
        <f t="shared" si="0"/>
        <v>28</v>
      </c>
      <c r="M34" s="156">
        <f t="shared" si="1"/>
        <v>2892</v>
      </c>
      <c r="N34" s="156">
        <f t="shared" si="2"/>
        <v>7178</v>
      </c>
      <c r="O34" s="172">
        <f t="shared" si="3"/>
        <v>1.4820193637621024</v>
      </c>
      <c r="P34" s="158">
        <f t="shared" si="4"/>
        <v>24.087248322147651</v>
      </c>
      <c r="Q34" s="83" t="str">
        <f t="shared" si="5"/>
        <v>Small</v>
      </c>
      <c r="R34" s="166">
        <f t="shared" si="6"/>
        <v>4.2424983196680519E-2</v>
      </c>
      <c r="S34" s="28">
        <f t="shared" si="7"/>
        <v>2</v>
      </c>
    </row>
    <row r="35" spans="1:19" ht="14">
      <c r="A35">
        <v>25</v>
      </c>
      <c r="B35" s="77" t="s">
        <v>106</v>
      </c>
      <c r="C35" s="77" t="s">
        <v>155</v>
      </c>
      <c r="D35" s="77" t="s">
        <v>8</v>
      </c>
      <c r="E35" s="78">
        <v>100</v>
      </c>
      <c r="F35" s="79">
        <v>40291</v>
      </c>
      <c r="G35" s="80">
        <v>43.63</v>
      </c>
      <c r="H35" s="40">
        <v>1279686860</v>
      </c>
      <c r="I35" s="38">
        <v>5.31</v>
      </c>
      <c r="J35" s="39">
        <v>5.23</v>
      </c>
      <c r="K35" s="39">
        <v>-3.82</v>
      </c>
      <c r="L35" s="157">
        <f t="shared" si="0"/>
        <v>28</v>
      </c>
      <c r="M35" s="156">
        <f t="shared" si="1"/>
        <v>4391</v>
      </c>
      <c r="N35" s="156">
        <f t="shared" si="2"/>
        <v>531</v>
      </c>
      <c r="O35" s="172">
        <f t="shared" si="3"/>
        <v>-0.87907082669095882</v>
      </c>
      <c r="P35" s="158">
        <f t="shared" si="4"/>
        <v>0</v>
      </c>
      <c r="Q35" s="83" t="str">
        <f t="shared" si="5"/>
        <v>Small</v>
      </c>
      <c r="R35" s="166">
        <f t="shared" si="6"/>
        <v>3.1384321645914399E-3</v>
      </c>
      <c r="S35" s="28">
        <f t="shared" si="7"/>
        <v>31</v>
      </c>
    </row>
    <row r="36" spans="1:19" ht="14">
      <c r="A36">
        <v>26</v>
      </c>
      <c r="B36" s="77" t="s">
        <v>107</v>
      </c>
      <c r="C36" s="77" t="s">
        <v>78</v>
      </c>
      <c r="D36" s="77" t="s">
        <v>14</v>
      </c>
      <c r="E36" s="78">
        <v>10</v>
      </c>
      <c r="F36" s="79">
        <v>40291</v>
      </c>
      <c r="G36" s="80">
        <v>20.86</v>
      </c>
      <c r="H36" s="40">
        <v>22579661595</v>
      </c>
      <c r="I36" s="38">
        <v>39.409999999999997</v>
      </c>
      <c r="J36" s="39">
        <v>38.869999999999997</v>
      </c>
      <c r="K36" s="39">
        <v>1.76</v>
      </c>
      <c r="L36" s="157">
        <f t="shared" si="0"/>
        <v>2.0859999999999999</v>
      </c>
      <c r="M36" s="156">
        <f t="shared" si="1"/>
        <v>210.68600000000001</v>
      </c>
      <c r="N36" s="156">
        <f t="shared" si="2"/>
        <v>394.09999999999997</v>
      </c>
      <c r="O36" s="172">
        <f t="shared" si="3"/>
        <v>0.87055618313509175</v>
      </c>
      <c r="P36" s="158">
        <f t="shared" si="4"/>
        <v>22.392045454545453</v>
      </c>
      <c r="Q36" s="83" t="str">
        <f t="shared" si="5"/>
        <v>Large</v>
      </c>
      <c r="R36" s="166">
        <f t="shared" si="6"/>
        <v>2.3292958871289761E-3</v>
      </c>
      <c r="S36" s="28">
        <f t="shared" si="7"/>
        <v>8</v>
      </c>
    </row>
    <row r="37" spans="1:19" ht="14">
      <c r="A37">
        <v>27</v>
      </c>
      <c r="B37" s="77" t="s">
        <v>108</v>
      </c>
      <c r="C37" s="77" t="s">
        <v>156</v>
      </c>
      <c r="D37" s="77" t="s">
        <v>13</v>
      </c>
      <c r="E37" s="78">
        <v>150</v>
      </c>
      <c r="F37" s="79">
        <v>40291</v>
      </c>
      <c r="G37" s="80">
        <v>48.01</v>
      </c>
      <c r="H37" s="40">
        <v>49645861156</v>
      </c>
      <c r="I37" s="38">
        <v>78.17</v>
      </c>
      <c r="J37" s="39">
        <v>76.900000000000006</v>
      </c>
      <c r="K37" s="39">
        <v>3.46</v>
      </c>
      <c r="L37" s="157">
        <f t="shared" si="0"/>
        <v>28</v>
      </c>
      <c r="M37" s="156">
        <f t="shared" si="1"/>
        <v>7229.5</v>
      </c>
      <c r="N37" s="156">
        <f t="shared" si="2"/>
        <v>11725.5</v>
      </c>
      <c r="O37" s="172">
        <f t="shared" si="3"/>
        <v>0.62189639670793273</v>
      </c>
      <c r="P37" s="158">
        <f t="shared" si="4"/>
        <v>22.592485549132949</v>
      </c>
      <c r="Q37" s="83" t="str">
        <f t="shared" si="5"/>
        <v>Large</v>
      </c>
      <c r="R37" s="166">
        <f t="shared" si="6"/>
        <v>6.9302610820935834E-2</v>
      </c>
      <c r="S37" s="28">
        <f t="shared" si="7"/>
        <v>12</v>
      </c>
    </row>
    <row r="38" spans="1:19" ht="14">
      <c r="A38">
        <v>28</v>
      </c>
      <c r="B38" s="77" t="s">
        <v>109</v>
      </c>
      <c r="C38" s="77" t="s">
        <v>157</v>
      </c>
      <c r="D38" s="77" t="s">
        <v>13</v>
      </c>
      <c r="E38" s="78">
        <v>100</v>
      </c>
      <c r="F38" s="79">
        <v>40291</v>
      </c>
      <c r="G38" s="80">
        <v>56.53</v>
      </c>
      <c r="H38" s="40">
        <v>224654982481</v>
      </c>
      <c r="I38" s="38">
        <v>74.8</v>
      </c>
      <c r="J38" s="39">
        <v>74.069999999999993</v>
      </c>
      <c r="K38" s="39">
        <v>4.38</v>
      </c>
      <c r="L38" s="157">
        <f t="shared" si="0"/>
        <v>28</v>
      </c>
      <c r="M38" s="156">
        <f t="shared" si="1"/>
        <v>5681</v>
      </c>
      <c r="N38" s="156">
        <f t="shared" si="2"/>
        <v>7480</v>
      </c>
      <c r="O38" s="172">
        <f t="shared" si="3"/>
        <v>0.31666960042246084</v>
      </c>
      <c r="P38" s="158">
        <f t="shared" si="4"/>
        <v>17.077625570776256</v>
      </c>
      <c r="Q38" s="83" t="str">
        <f t="shared" si="5"/>
        <v>Large</v>
      </c>
      <c r="R38" s="166">
        <f t="shared" si="6"/>
        <v>4.4209929550176968E-2</v>
      </c>
      <c r="S38" s="28">
        <f t="shared" si="7"/>
        <v>16</v>
      </c>
    </row>
    <row r="39" spans="1:19" ht="14">
      <c r="A39">
        <v>29</v>
      </c>
      <c r="B39" s="77" t="s">
        <v>110</v>
      </c>
      <c r="C39" s="77" t="s">
        <v>79</v>
      </c>
      <c r="D39" s="77" t="s">
        <v>15</v>
      </c>
      <c r="E39" s="78">
        <v>50</v>
      </c>
      <c r="F39" s="79">
        <v>40291</v>
      </c>
      <c r="G39" s="80">
        <v>59.24</v>
      </c>
      <c r="H39" s="40">
        <v>4953343427</v>
      </c>
      <c r="I39" s="38">
        <v>30.51</v>
      </c>
      <c r="J39" s="39">
        <v>28.42</v>
      </c>
      <c r="K39" s="39">
        <v>-2.81</v>
      </c>
      <c r="L39" s="157">
        <f t="shared" si="0"/>
        <v>28</v>
      </c>
      <c r="M39" s="156">
        <f t="shared" si="1"/>
        <v>2990</v>
      </c>
      <c r="N39" s="156">
        <f t="shared" si="2"/>
        <v>1525.5</v>
      </c>
      <c r="O39" s="172">
        <f t="shared" si="3"/>
        <v>-0.4897993311036789</v>
      </c>
      <c r="P39" s="158">
        <f t="shared" si="4"/>
        <v>0</v>
      </c>
      <c r="Q39" s="83" t="str">
        <f t="shared" si="5"/>
        <v>Small</v>
      </c>
      <c r="R39" s="166">
        <f t="shared" si="6"/>
        <v>9.0163432525126961E-3</v>
      </c>
      <c r="S39" s="28">
        <f t="shared" si="7"/>
        <v>29</v>
      </c>
    </row>
    <row r="40" spans="1:19" ht="14">
      <c r="A40">
        <v>30</v>
      </c>
      <c r="B40" s="77" t="s">
        <v>50</v>
      </c>
      <c r="C40" s="77" t="s">
        <v>158</v>
      </c>
      <c r="D40" s="77" t="s">
        <v>11</v>
      </c>
      <c r="E40" s="78">
        <v>50</v>
      </c>
      <c r="F40" s="79">
        <v>40291</v>
      </c>
      <c r="G40" s="80">
        <v>13.11</v>
      </c>
      <c r="H40" s="40">
        <v>50166800</v>
      </c>
      <c r="I40" s="38">
        <v>2.74</v>
      </c>
      <c r="J40" s="39">
        <v>2.76</v>
      </c>
      <c r="K40" s="39">
        <v>-89.3</v>
      </c>
      <c r="L40" s="157">
        <f t="shared" si="0"/>
        <v>6.5549999999999997</v>
      </c>
      <c r="M40" s="156">
        <f t="shared" si="1"/>
        <v>662.05499999999995</v>
      </c>
      <c r="N40" s="156">
        <f t="shared" si="2"/>
        <v>137</v>
      </c>
      <c r="O40" s="172">
        <f t="shared" si="3"/>
        <v>-0.7930685517064292</v>
      </c>
      <c r="P40" s="158">
        <f t="shared" si="4"/>
        <v>0</v>
      </c>
      <c r="Q40" s="83" t="str">
        <f t="shared" si="5"/>
        <v>Small</v>
      </c>
      <c r="R40" s="166">
        <f t="shared" si="6"/>
        <v>8.0972731930136963E-4</v>
      </c>
      <c r="S40" s="28">
        <f t="shared" si="7"/>
        <v>30</v>
      </c>
    </row>
    <row r="41" spans="1:19" ht="14">
      <c r="A41">
        <v>31</v>
      </c>
      <c r="B41" s="77" t="s">
        <v>124</v>
      </c>
      <c r="C41" s="77" t="s">
        <v>125</v>
      </c>
      <c r="D41" s="77" t="s">
        <v>10</v>
      </c>
      <c r="E41" s="78">
        <v>50</v>
      </c>
      <c r="F41" s="79">
        <v>40291</v>
      </c>
      <c r="G41" s="80">
        <v>17.64</v>
      </c>
      <c r="H41" s="40">
        <v>44954899199</v>
      </c>
      <c r="I41" s="38">
        <v>47.67</v>
      </c>
      <c r="J41" s="39">
        <v>47</v>
      </c>
      <c r="K41" s="39">
        <v>-0.23</v>
      </c>
      <c r="L41" s="157">
        <f t="shared" si="0"/>
        <v>8.82</v>
      </c>
      <c r="M41" s="156">
        <f t="shared" si="1"/>
        <v>890.82</v>
      </c>
      <c r="N41" s="156">
        <f t="shared" si="2"/>
        <v>2383.5</v>
      </c>
      <c r="O41" s="172">
        <f t="shared" si="3"/>
        <v>1.6756247053276754</v>
      </c>
      <c r="P41" s="158">
        <f t="shared" si="4"/>
        <v>0</v>
      </c>
      <c r="Q41" s="83" t="str">
        <f t="shared" si="5"/>
        <v>Large</v>
      </c>
      <c r="R41" s="166">
        <f t="shared" si="6"/>
        <v>1.4087482230327112E-2</v>
      </c>
      <c r="S41" s="28">
        <f t="shared" si="7"/>
        <v>1</v>
      </c>
    </row>
    <row r="42" spans="1:19" ht="14" thickBot="1">
      <c r="M42" s="24"/>
      <c r="N42" s="24"/>
      <c r="O42" s="12" t="s">
        <v>43</v>
      </c>
    </row>
    <row r="43" spans="1:19" ht="14">
      <c r="C43" s="135" t="s">
        <v>186</v>
      </c>
    </row>
    <row r="44" spans="1:19" ht="15" thickBot="1">
      <c r="C44" s="30" t="s">
        <v>119</v>
      </c>
    </row>
    <row r="45" spans="1:19" ht="16">
      <c r="A45" s="2" t="s">
        <v>114</v>
      </c>
      <c r="B45">
        <v>1</v>
      </c>
      <c r="C45" s="29" t="str">
        <f ca="1">OFFSET($O$11,MATCH(S40,$S$11:$S$41,0)-1,-13)</f>
        <v>YGE</v>
      </c>
    </row>
    <row r="46" spans="1:19" ht="16">
      <c r="A46" s="2" t="s">
        <v>115</v>
      </c>
      <c r="B46">
        <v>2</v>
      </c>
      <c r="C46" s="29" t="str">
        <f ca="1">OFFSET($O$11,MATCH(S39,$S$11:$S$41,0)-1,-13)</f>
        <v xml:space="preserve">X </v>
      </c>
    </row>
    <row r="47" spans="1:19" ht="16">
      <c r="A47" s="2" t="s">
        <v>116</v>
      </c>
      <c r="B47">
        <v>3</v>
      </c>
      <c r="C47" s="29" t="str">
        <f ca="1">OFFSET($O$11,MATCH(S33,$S$11:$S$41,0)-1,-13)</f>
        <v xml:space="preserve">NBR </v>
      </c>
    </row>
    <row r="48" spans="1:19" ht="16">
      <c r="A48" s="2" t="s">
        <v>117</v>
      </c>
      <c r="B48">
        <v>4</v>
      </c>
      <c r="C48" s="29" t="str">
        <f ca="1">OFFSET($O$11,MATCH(S16,$S$11:$S$41,0)-1,-13)</f>
        <v xml:space="preserve">DVN </v>
      </c>
    </row>
    <row r="49" spans="1:3" ht="16">
      <c r="A49" s="2" t="s">
        <v>118</v>
      </c>
      <c r="B49">
        <v>5</v>
      </c>
      <c r="C49" s="29" t="str">
        <f ca="1">OFFSET($O$11,MATCH(S23,$S$11:$S$41,0)-1,-13)</f>
        <v xml:space="preserve">ITT </v>
      </c>
    </row>
    <row r="56" spans="1:3" ht="42">
      <c r="C56" s="322" t="s">
        <v>454</v>
      </c>
    </row>
  </sheetData>
  <mergeCells count="1">
    <mergeCell ref="A1:K1"/>
  </mergeCells>
  <phoneticPr fontId="3" type="noConversion"/>
  <printOptions gridLines="1"/>
  <pageMargins left="0.75" right="0.75" top="1" bottom="1" header="0.5" footer="0.5"/>
  <pageSetup orientation="landscape" horizontalDpi="300" verticalDpi="300" r:id="rId1"/>
  <headerFooter alignWithMargins="0">
    <oddHeader>&amp;CStephanie Agbenorhevi</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D40"/>
  <sheetViews>
    <sheetView view="pageLayout" zoomScaleNormal="100" workbookViewId="0">
      <selection activeCell="H43" sqref="H43"/>
    </sheetView>
  </sheetViews>
  <sheetFormatPr baseColWidth="10" defaultColWidth="8.83203125" defaultRowHeight="13"/>
  <cols>
    <col min="1" max="1" width="13.1640625" bestFit="1" customWidth="1"/>
    <col min="2" max="2" width="14.83203125" bestFit="1" customWidth="1"/>
    <col min="3" max="3" width="23.6640625" bestFit="1" customWidth="1"/>
    <col min="4" max="4" width="12.6640625" bestFit="1" customWidth="1"/>
    <col min="5" max="6" width="5.1640625" bestFit="1" customWidth="1"/>
    <col min="7" max="9" width="12.1640625" bestFit="1" customWidth="1"/>
    <col min="10" max="10" width="5.1640625" bestFit="1" customWidth="1"/>
    <col min="11" max="14" width="12.1640625" bestFit="1" customWidth="1"/>
    <col min="15" max="15" width="4.6640625" bestFit="1" customWidth="1"/>
    <col min="16" max="16" width="11.1640625" bestFit="1" customWidth="1"/>
    <col min="17" max="17" width="12.1640625" bestFit="1" customWidth="1"/>
    <col min="18" max="18" width="11.1640625" bestFit="1" customWidth="1"/>
    <col min="19" max="19" width="12.1640625" bestFit="1" customWidth="1"/>
    <col min="20" max="20" width="11.1640625" bestFit="1" customWidth="1"/>
    <col min="21" max="25" width="12.1640625" bestFit="1" customWidth="1"/>
    <col min="26" max="26" width="11.1640625" bestFit="1" customWidth="1"/>
    <col min="27" max="27" width="12.1640625" bestFit="1" customWidth="1"/>
    <col min="28" max="28" width="11.1640625" bestFit="1" customWidth="1"/>
    <col min="29" max="31" width="12.1640625" bestFit="1" customWidth="1"/>
    <col min="32" max="32" width="4.6640625" bestFit="1" customWidth="1"/>
    <col min="33" max="33" width="23.6640625" bestFit="1" customWidth="1"/>
    <col min="34" max="37" width="5.6640625" bestFit="1" customWidth="1"/>
    <col min="38" max="40" width="5.1640625" bestFit="1" customWidth="1"/>
    <col min="41" max="41" width="5.6640625" bestFit="1" customWidth="1"/>
    <col min="42" max="45" width="5.1640625" bestFit="1" customWidth="1"/>
    <col min="46" max="46" width="5.6640625" bestFit="1" customWidth="1"/>
    <col min="47" max="47" width="6.1640625" bestFit="1" customWidth="1"/>
    <col min="48" max="62" width="5.1640625" bestFit="1" customWidth="1"/>
    <col min="63" max="63" width="5.6640625" bestFit="1" customWidth="1"/>
    <col min="64" max="64" width="19.5" bestFit="1" customWidth="1"/>
    <col min="65" max="65" width="28.33203125" bestFit="1" customWidth="1"/>
  </cols>
  <sheetData>
    <row r="1" spans="1:4" ht="18">
      <c r="A1" s="22" t="s">
        <v>42</v>
      </c>
    </row>
    <row r="2" spans="1:4">
      <c r="A2" s="168" t="s">
        <v>2</v>
      </c>
      <c r="B2" s="155" t="s">
        <v>210</v>
      </c>
    </row>
    <row r="4" spans="1:4">
      <c r="A4" s="168" t="s">
        <v>0</v>
      </c>
      <c r="B4" s="155" t="s">
        <v>214</v>
      </c>
      <c r="C4" s="155" t="s">
        <v>215</v>
      </c>
      <c r="D4" s="155" t="s">
        <v>213</v>
      </c>
    </row>
    <row r="5" spans="1:4">
      <c r="A5" s="169" t="s">
        <v>171</v>
      </c>
      <c r="B5" s="122">
        <v>46.787234042553187</v>
      </c>
      <c r="C5" s="122">
        <v>0.94</v>
      </c>
      <c r="D5" s="159">
        <v>0.5265532801110725</v>
      </c>
    </row>
    <row r="6" spans="1:4">
      <c r="A6" s="169" t="s">
        <v>177</v>
      </c>
      <c r="B6" s="122">
        <v>17.960264900662249</v>
      </c>
      <c r="C6" s="122">
        <v>9.06</v>
      </c>
      <c r="D6" s="159">
        <v>0.53857791225416041</v>
      </c>
    </row>
    <row r="7" spans="1:4">
      <c r="A7" s="169" t="s">
        <v>44</v>
      </c>
      <c r="B7" s="122">
        <v>29.507246376811597</v>
      </c>
      <c r="C7" s="122">
        <v>1.38</v>
      </c>
      <c r="D7" s="159">
        <v>0.74838986689566334</v>
      </c>
    </row>
    <row r="8" spans="1:4">
      <c r="A8" s="169" t="s">
        <v>168</v>
      </c>
      <c r="B8" s="122">
        <v>17.815742397137747</v>
      </c>
      <c r="C8" s="122">
        <v>5.59</v>
      </c>
      <c r="D8" s="159">
        <v>0.46112089201877932</v>
      </c>
    </row>
    <row r="9" spans="1:4">
      <c r="A9" s="169" t="s">
        <v>91</v>
      </c>
      <c r="B9" s="122">
        <v>35.714285714285715</v>
      </c>
      <c r="C9" s="122">
        <v>1.61</v>
      </c>
      <c r="D9" s="159">
        <v>0.65515256188831317</v>
      </c>
    </row>
    <row r="10" spans="1:4">
      <c r="A10" s="169" t="s">
        <v>92</v>
      </c>
      <c r="B10" s="122">
        <v>0</v>
      </c>
      <c r="C10" s="122">
        <v>-6.52</v>
      </c>
      <c r="D10" s="159">
        <v>-0.43033433778160418</v>
      </c>
    </row>
    <row r="11" spans="1:4">
      <c r="A11" s="169" t="s">
        <v>93</v>
      </c>
      <c r="B11" s="122">
        <v>21.437037037037037</v>
      </c>
      <c r="C11" s="122">
        <v>2.7</v>
      </c>
      <c r="D11" s="159">
        <v>-0.18375405443519954</v>
      </c>
    </row>
    <row r="12" spans="1:4">
      <c r="A12" s="169" t="s">
        <v>173</v>
      </c>
      <c r="B12" s="122">
        <v>110.02702702702703</v>
      </c>
      <c r="C12" s="122">
        <v>0.37</v>
      </c>
      <c r="D12" s="159">
        <v>1.002787799278452</v>
      </c>
    </row>
    <row r="13" spans="1:4">
      <c r="A13" s="169" t="s">
        <v>94</v>
      </c>
      <c r="B13" s="122">
        <v>22.122119815668206</v>
      </c>
      <c r="C13" s="122">
        <v>4.34</v>
      </c>
      <c r="D13" s="159">
        <v>1.3454084860743658</v>
      </c>
    </row>
    <row r="14" spans="1:4">
      <c r="A14" s="169" t="s">
        <v>52</v>
      </c>
      <c r="B14" s="122">
        <v>12.684931506849315</v>
      </c>
      <c r="C14" s="122">
        <v>1.46</v>
      </c>
      <c r="D14" s="159">
        <v>-1.0435312284601355E-2</v>
      </c>
    </row>
    <row r="15" spans="1:4">
      <c r="A15" s="169" t="s">
        <v>95</v>
      </c>
      <c r="B15" s="122">
        <v>32.574850299401199</v>
      </c>
      <c r="C15" s="122">
        <v>3.34</v>
      </c>
      <c r="D15" s="159">
        <v>1.2204081632653061</v>
      </c>
    </row>
    <row r="16" spans="1:4">
      <c r="A16" s="169" t="s">
        <v>96</v>
      </c>
      <c r="B16" s="122">
        <v>13.109854604200324</v>
      </c>
      <c r="C16" s="122">
        <v>12.38</v>
      </c>
      <c r="D16" s="159">
        <v>0.27244217953743644</v>
      </c>
    </row>
    <row r="17" spans="1:4">
      <c r="A17" s="169" t="s">
        <v>97</v>
      </c>
      <c r="B17" s="122">
        <v>19.304347826086957</v>
      </c>
      <c r="C17" s="122">
        <v>2.0699999999999998</v>
      </c>
      <c r="D17" s="159">
        <v>-0.29598308668076112</v>
      </c>
    </row>
    <row r="18" spans="1:4">
      <c r="A18" s="169" t="s">
        <v>98</v>
      </c>
      <c r="B18" s="122">
        <v>0</v>
      </c>
      <c r="C18" s="122">
        <v>-1.64</v>
      </c>
      <c r="D18" s="159">
        <v>0.20921472037090713</v>
      </c>
    </row>
    <row r="19" spans="1:4">
      <c r="A19" s="169" t="s">
        <v>99</v>
      </c>
      <c r="B19" s="122">
        <v>20.551433389544691</v>
      </c>
      <c r="C19" s="122">
        <v>5.93</v>
      </c>
      <c r="D19" s="159">
        <v>0.86464795393217797</v>
      </c>
    </row>
    <row r="20" spans="1:4">
      <c r="A20" s="169" t="s">
        <v>100</v>
      </c>
      <c r="B20" s="122">
        <v>13.106109324758842</v>
      </c>
      <c r="C20" s="122">
        <v>3.11</v>
      </c>
      <c r="D20" s="159">
        <v>-0.17855703345425231</v>
      </c>
    </row>
    <row r="21" spans="1:4">
      <c r="A21" s="169" t="s">
        <v>122</v>
      </c>
      <c r="B21" s="122">
        <v>31.759689922480618</v>
      </c>
      <c r="C21" s="122">
        <v>2.58</v>
      </c>
      <c r="D21" s="159">
        <v>1.2878937639956889</v>
      </c>
    </row>
    <row r="22" spans="1:4">
      <c r="A22" s="169" t="s">
        <v>165</v>
      </c>
      <c r="B22" s="122">
        <v>15.080402010050252</v>
      </c>
      <c r="C22" s="122">
        <v>1.99</v>
      </c>
      <c r="D22" s="159">
        <v>1.1573033707865169E-2</v>
      </c>
    </row>
    <row r="23" spans="1:4">
      <c r="A23" s="169" t="s">
        <v>101</v>
      </c>
      <c r="B23" s="122">
        <v>27.402173913043477</v>
      </c>
      <c r="C23" s="122">
        <v>0.92</v>
      </c>
      <c r="D23" s="159">
        <v>6.0339678827695871E-2</v>
      </c>
    </row>
    <row r="24" spans="1:4">
      <c r="A24" s="169" t="s">
        <v>102</v>
      </c>
      <c r="B24" s="122">
        <v>0</v>
      </c>
      <c r="C24" s="122">
        <v>-2.54</v>
      </c>
      <c r="D24" s="159">
        <v>-0.17617715970070291</v>
      </c>
    </row>
    <row r="25" spans="1:4">
      <c r="A25" s="169" t="s">
        <v>103</v>
      </c>
      <c r="B25" s="122">
        <v>12.23404255319149</v>
      </c>
      <c r="C25" s="122">
        <v>1.41</v>
      </c>
      <c r="D25" s="159">
        <v>-0.10723527585136114</v>
      </c>
    </row>
    <row r="26" spans="1:4">
      <c r="A26" s="169" t="s">
        <v>167</v>
      </c>
      <c r="B26" s="122">
        <v>30.751173708920188</v>
      </c>
      <c r="C26" s="122">
        <v>2.13</v>
      </c>
      <c r="D26" s="159">
        <v>1.1029537671232876</v>
      </c>
    </row>
    <row r="27" spans="1:4">
      <c r="A27" s="169" t="s">
        <v>104</v>
      </c>
      <c r="B27" s="122">
        <v>0</v>
      </c>
      <c r="C27" s="122">
        <v>-3.64</v>
      </c>
      <c r="D27" s="159">
        <v>-0.48458799882641962</v>
      </c>
    </row>
    <row r="28" spans="1:4">
      <c r="A28" s="169" t="s">
        <v>105</v>
      </c>
      <c r="B28" s="122">
        <v>24.087248322147651</v>
      </c>
      <c r="C28" s="122">
        <v>1.49</v>
      </c>
      <c r="D28" s="159">
        <v>1.4820193637621024</v>
      </c>
    </row>
    <row r="29" spans="1:4">
      <c r="A29" s="169" t="s">
        <v>106</v>
      </c>
      <c r="B29" s="122">
        <v>0</v>
      </c>
      <c r="C29" s="122">
        <v>-3.82</v>
      </c>
      <c r="D29" s="159">
        <v>-0.87907082669095882</v>
      </c>
    </row>
    <row r="30" spans="1:4">
      <c r="A30" s="169" t="s">
        <v>107</v>
      </c>
      <c r="B30" s="122">
        <v>22.392045454545453</v>
      </c>
      <c r="C30" s="122">
        <v>1.76</v>
      </c>
      <c r="D30" s="159">
        <v>0.87055618313509175</v>
      </c>
    </row>
    <row r="31" spans="1:4">
      <c r="A31" s="169" t="s">
        <v>108</v>
      </c>
      <c r="B31" s="122">
        <v>22.592485549132949</v>
      </c>
      <c r="C31" s="122">
        <v>3.46</v>
      </c>
      <c r="D31" s="159">
        <v>0.62189639670793273</v>
      </c>
    </row>
    <row r="32" spans="1:4">
      <c r="A32" s="169" t="s">
        <v>109</v>
      </c>
      <c r="B32" s="122">
        <v>17.077625570776256</v>
      </c>
      <c r="C32" s="122">
        <v>4.38</v>
      </c>
      <c r="D32" s="159">
        <v>0.31666960042246084</v>
      </c>
    </row>
    <row r="33" spans="1:4">
      <c r="A33" s="169" t="s">
        <v>110</v>
      </c>
      <c r="B33" s="122">
        <v>0</v>
      </c>
      <c r="C33" s="122">
        <v>-2.81</v>
      </c>
      <c r="D33" s="159">
        <v>-0.4897993311036789</v>
      </c>
    </row>
    <row r="34" spans="1:4">
      <c r="A34" s="169" t="s">
        <v>50</v>
      </c>
      <c r="B34" s="122">
        <v>0</v>
      </c>
      <c r="C34" s="122">
        <v>-89.3</v>
      </c>
      <c r="D34" s="159">
        <v>-0.7930685517064292</v>
      </c>
    </row>
    <row r="35" spans="1:4">
      <c r="A35" s="169" t="s">
        <v>124</v>
      </c>
      <c r="B35" s="122">
        <v>0</v>
      </c>
      <c r="C35" s="122">
        <v>-0.23</v>
      </c>
      <c r="D35" s="159">
        <v>1.6756247053276754</v>
      </c>
    </row>
    <row r="39" spans="1:4" ht="17" customHeight="1">
      <c r="A39" s="323" t="s">
        <v>449</v>
      </c>
      <c r="B39" s="323"/>
      <c r="C39" s="323"/>
    </row>
    <row r="40" spans="1:4">
      <c r="A40" s="323"/>
      <c r="B40" s="323"/>
      <c r="C40" s="323"/>
    </row>
  </sheetData>
  <mergeCells count="1">
    <mergeCell ref="A39:C40"/>
  </mergeCells>
  <phoneticPr fontId="3" type="noConversion"/>
  <pageMargins left="0.75" right="0.75" top="1" bottom="1" header="0.5" footer="0.5"/>
  <pageSetup orientation="landscape" r:id="rId2"/>
  <headerFooter alignWithMargins="0">
    <oddHeader>&amp;CStephanie Agbenorhevi</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R57"/>
  <sheetViews>
    <sheetView view="pageLayout" zoomScaleNormal="100" workbookViewId="0">
      <selection activeCell="E1" sqref="E1"/>
    </sheetView>
  </sheetViews>
  <sheetFormatPr baseColWidth="10" defaultColWidth="8.83203125" defaultRowHeight="13"/>
  <cols>
    <col min="1" max="1" width="9.5" customWidth="1"/>
    <col min="2" max="2" width="28.5" bestFit="1" customWidth="1"/>
    <col min="3" max="3" width="14.1640625" customWidth="1"/>
    <col min="4" max="4" width="17.83203125" customWidth="1"/>
    <col min="5" max="5" width="14.33203125" bestFit="1" customWidth="1"/>
    <col min="6" max="6" width="14.83203125" bestFit="1" customWidth="1"/>
    <col min="7" max="7" width="21.1640625" customWidth="1"/>
    <col min="8" max="8" width="10.1640625" bestFit="1" customWidth="1"/>
    <col min="9" max="9" width="14.6640625" bestFit="1" customWidth="1"/>
    <col min="10" max="10" width="19" bestFit="1" customWidth="1"/>
    <col min="11" max="11" width="12.1640625" bestFit="1" customWidth="1"/>
    <col min="12" max="12" width="10.33203125" bestFit="1" customWidth="1"/>
    <col min="13" max="13" width="13.83203125" bestFit="1" customWidth="1"/>
    <col min="14" max="14" width="12.5" bestFit="1" customWidth="1"/>
    <col min="15" max="15" width="9.33203125" bestFit="1" customWidth="1"/>
    <col min="16" max="16" width="20.5" bestFit="1" customWidth="1"/>
    <col min="17" max="17" width="20" bestFit="1" customWidth="1"/>
  </cols>
  <sheetData>
    <row r="1" spans="1:18" ht="20">
      <c r="A1" s="5" t="s">
        <v>32</v>
      </c>
    </row>
    <row r="3" spans="1:18" ht="16">
      <c r="A3" s="16" t="s">
        <v>89</v>
      </c>
      <c r="B3" s="3"/>
      <c r="C3" s="3"/>
      <c r="D3" s="3"/>
      <c r="E3" s="3"/>
      <c r="F3" s="3"/>
      <c r="G3" s="3"/>
      <c r="H3" s="3"/>
      <c r="I3" s="3"/>
      <c r="J3" s="3"/>
      <c r="K3" s="3"/>
      <c r="L3" s="3"/>
      <c r="M3" s="3"/>
      <c r="N3" s="3"/>
      <c r="O3" s="3"/>
      <c r="P3" s="3"/>
      <c r="Q3" s="3"/>
    </row>
    <row r="4" spans="1:18">
      <c r="A4" s="15" t="s">
        <v>0</v>
      </c>
      <c r="B4" s="15" t="s">
        <v>1</v>
      </c>
      <c r="C4" s="15" t="s">
        <v>2</v>
      </c>
      <c r="D4" s="15" t="s">
        <v>3</v>
      </c>
      <c r="E4" s="15" t="s">
        <v>4</v>
      </c>
      <c r="F4" s="15" t="s">
        <v>5</v>
      </c>
      <c r="G4" s="15" t="s">
        <v>16</v>
      </c>
      <c r="H4" s="15" t="s">
        <v>17</v>
      </c>
      <c r="I4" s="15" t="s">
        <v>18</v>
      </c>
      <c r="J4" s="15" t="s">
        <v>19</v>
      </c>
      <c r="K4" s="15" t="s">
        <v>20</v>
      </c>
      <c r="L4" s="15" t="s">
        <v>21</v>
      </c>
      <c r="M4" s="15" t="s">
        <v>23</v>
      </c>
      <c r="N4" s="15" t="s">
        <v>24</v>
      </c>
      <c r="O4" s="15" t="s">
        <v>25</v>
      </c>
      <c r="P4" s="15" t="s">
        <v>26</v>
      </c>
      <c r="Q4" s="15" t="s">
        <v>22</v>
      </c>
    </row>
    <row r="5" spans="1:18" ht="15.75" customHeight="1">
      <c r="A5" s="48" t="s">
        <v>177</v>
      </c>
      <c r="B5" s="77" t="s">
        <v>144</v>
      </c>
      <c r="C5" s="45" t="s">
        <v>12</v>
      </c>
      <c r="D5" s="78">
        <v>100</v>
      </c>
      <c r="E5" s="79">
        <v>40291</v>
      </c>
      <c r="F5" s="80">
        <v>105.48</v>
      </c>
      <c r="G5" s="98">
        <v>123606162095</v>
      </c>
      <c r="H5" s="174">
        <v>162.72</v>
      </c>
      <c r="I5" s="173">
        <v>164.4</v>
      </c>
      <c r="J5" s="39">
        <v>9.06</v>
      </c>
      <c r="K5" s="157">
        <v>28</v>
      </c>
      <c r="L5" s="156">
        <v>10576</v>
      </c>
      <c r="M5" s="156">
        <v>16272</v>
      </c>
      <c r="N5" s="172">
        <v>0.53857791225416041</v>
      </c>
      <c r="O5" s="158">
        <v>17.960264900662249</v>
      </c>
      <c r="P5" s="83" t="s">
        <v>216</v>
      </c>
      <c r="Q5" s="166">
        <v>9.6174328026802092E-2</v>
      </c>
    </row>
    <row r="6" spans="1:18">
      <c r="A6" s="3"/>
      <c r="B6" s="3"/>
      <c r="C6" s="3"/>
      <c r="D6" s="3"/>
      <c r="E6" s="3"/>
      <c r="F6" s="3"/>
      <c r="G6" s="3"/>
      <c r="H6" s="3"/>
      <c r="I6" s="3"/>
      <c r="J6" s="3"/>
      <c r="K6" s="3"/>
      <c r="L6" s="3"/>
      <c r="M6" s="3"/>
      <c r="N6" s="3"/>
      <c r="O6" s="3"/>
      <c r="P6" s="3"/>
      <c r="Q6" s="3"/>
    </row>
    <row r="7" spans="1:18" ht="16">
      <c r="A7" s="16" t="s">
        <v>182</v>
      </c>
      <c r="B7" s="3"/>
      <c r="C7" s="3"/>
      <c r="D7" s="3"/>
      <c r="E7" s="3"/>
      <c r="F7" s="3"/>
      <c r="G7" s="3"/>
      <c r="H7" s="3"/>
      <c r="I7" s="3"/>
      <c r="J7" s="3"/>
      <c r="K7" s="3"/>
      <c r="L7" s="3"/>
      <c r="M7" s="3"/>
      <c r="N7" s="3"/>
      <c r="O7" s="3"/>
      <c r="P7" s="3"/>
      <c r="Q7" s="3"/>
      <c r="R7" s="3"/>
    </row>
    <row r="8" spans="1:18">
      <c r="A8" s="15" t="s">
        <v>0</v>
      </c>
      <c r="B8" s="15" t="s">
        <v>1</v>
      </c>
      <c r="C8" s="15" t="s">
        <v>2</v>
      </c>
      <c r="D8" s="15" t="s">
        <v>3</v>
      </c>
      <c r="E8" s="15" t="s">
        <v>4</v>
      </c>
      <c r="F8" s="15" t="s">
        <v>5</v>
      </c>
      <c r="G8" s="15" t="s">
        <v>16</v>
      </c>
      <c r="H8" s="15" t="s">
        <v>17</v>
      </c>
      <c r="I8" s="15" t="s">
        <v>18</v>
      </c>
      <c r="J8" s="15" t="s">
        <v>19</v>
      </c>
      <c r="K8" s="15" t="s">
        <v>20</v>
      </c>
      <c r="L8" s="15" t="s">
        <v>21</v>
      </c>
      <c r="M8" s="15" t="s">
        <v>23</v>
      </c>
      <c r="N8" s="15" t="s">
        <v>24</v>
      </c>
      <c r="O8" s="15" t="s">
        <v>25</v>
      </c>
      <c r="P8" s="15" t="s">
        <v>26</v>
      </c>
      <c r="Q8" s="15" t="s">
        <v>22</v>
      </c>
      <c r="R8" s="3"/>
    </row>
    <row r="9" spans="1:18" ht="14">
      <c r="A9" s="77" t="s">
        <v>124</v>
      </c>
      <c r="B9" s="77" t="s">
        <v>125</v>
      </c>
      <c r="C9" s="77" t="s">
        <v>10</v>
      </c>
      <c r="D9" s="78">
        <v>50</v>
      </c>
      <c r="E9" s="79">
        <v>40291</v>
      </c>
      <c r="F9" s="80">
        <v>17.64</v>
      </c>
      <c r="G9" s="40">
        <v>44954899199</v>
      </c>
      <c r="H9" s="174">
        <v>47.67</v>
      </c>
      <c r="I9" s="173">
        <v>47</v>
      </c>
      <c r="J9" s="39">
        <v>-0.23</v>
      </c>
      <c r="K9" s="157">
        <v>8.82</v>
      </c>
      <c r="L9" s="156">
        <v>890.82</v>
      </c>
      <c r="M9" s="156">
        <v>2383.5</v>
      </c>
      <c r="N9" s="172">
        <v>1.6756247053276754</v>
      </c>
      <c r="O9" s="158">
        <v>0</v>
      </c>
      <c r="P9" s="83" t="s">
        <v>216</v>
      </c>
      <c r="Q9" s="166">
        <v>1.515076777874425E-2</v>
      </c>
      <c r="R9" s="3"/>
    </row>
    <row r="10" spans="1:18">
      <c r="A10" s="3"/>
      <c r="B10" s="3"/>
      <c r="C10" s="3"/>
      <c r="D10" s="3"/>
      <c r="E10" s="3"/>
      <c r="F10" s="3"/>
      <c r="G10" s="3"/>
      <c r="H10" s="3"/>
      <c r="I10" s="3"/>
      <c r="J10" s="3"/>
      <c r="K10" s="3"/>
      <c r="L10" s="3"/>
      <c r="M10" s="3"/>
      <c r="N10" s="3"/>
      <c r="O10" s="3"/>
      <c r="P10" s="3"/>
      <c r="Q10" s="3"/>
      <c r="R10" s="3"/>
    </row>
    <row r="11" spans="1:18" ht="16">
      <c r="A11" s="16" t="s">
        <v>183</v>
      </c>
      <c r="B11" s="3"/>
      <c r="C11" s="3"/>
      <c r="D11" s="3"/>
      <c r="E11" s="3"/>
      <c r="F11" s="3"/>
      <c r="G11" s="3"/>
      <c r="H11" s="3"/>
      <c r="I11" s="3"/>
      <c r="J11" s="3"/>
      <c r="K11" s="3"/>
      <c r="L11" s="3"/>
      <c r="M11" s="3"/>
      <c r="N11" s="3"/>
      <c r="O11" s="3"/>
      <c r="P11" s="3"/>
      <c r="Q11" s="3"/>
      <c r="R11" s="3"/>
    </row>
    <row r="12" spans="1:18">
      <c r="A12" s="15" t="s">
        <v>0</v>
      </c>
      <c r="B12" s="15" t="s">
        <v>1</v>
      </c>
      <c r="C12" s="15" t="s">
        <v>2</v>
      </c>
      <c r="D12" s="15" t="s">
        <v>3</v>
      </c>
      <c r="E12" s="15" t="s">
        <v>4</v>
      </c>
      <c r="F12" s="15" t="s">
        <v>5</v>
      </c>
      <c r="G12" s="15" t="s">
        <v>16</v>
      </c>
      <c r="H12" s="15" t="s">
        <v>17</v>
      </c>
      <c r="I12" s="15" t="s">
        <v>18</v>
      </c>
      <c r="J12" s="15" t="s">
        <v>19</v>
      </c>
      <c r="K12" s="15" t="s">
        <v>20</v>
      </c>
      <c r="L12" s="15" t="s">
        <v>21</v>
      </c>
      <c r="M12" s="15" t="s">
        <v>23</v>
      </c>
      <c r="N12" s="15" t="s">
        <v>24</v>
      </c>
      <c r="O12" s="15" t="s">
        <v>25</v>
      </c>
      <c r="P12" s="15" t="s">
        <v>26</v>
      </c>
      <c r="Q12" s="15" t="s">
        <v>22</v>
      </c>
      <c r="R12" s="3"/>
    </row>
    <row r="13" spans="1:18" ht="14">
      <c r="A13" s="77" t="s">
        <v>106</v>
      </c>
      <c r="B13" s="77" t="s">
        <v>155</v>
      </c>
      <c r="C13" s="77" t="s">
        <v>8</v>
      </c>
      <c r="D13" s="78">
        <v>100</v>
      </c>
      <c r="E13" s="79">
        <v>40291</v>
      </c>
      <c r="F13" s="80">
        <v>43.63</v>
      </c>
      <c r="G13" s="40">
        <v>1279686860</v>
      </c>
      <c r="H13" s="174">
        <v>5.31</v>
      </c>
      <c r="I13" s="173">
        <v>5.23</v>
      </c>
      <c r="J13" s="39">
        <v>-3.82</v>
      </c>
      <c r="K13" s="157">
        <v>28</v>
      </c>
      <c r="L13" s="156">
        <v>4391</v>
      </c>
      <c r="M13" s="156">
        <v>531</v>
      </c>
      <c r="N13" s="172">
        <v>-0.87907082669095882</v>
      </c>
      <c r="O13" s="158">
        <v>0</v>
      </c>
      <c r="P13" s="83" t="s">
        <v>217</v>
      </c>
      <c r="Q13" s="166">
        <v>3.375312645484874E-3</v>
      </c>
      <c r="R13" s="3"/>
    </row>
    <row r="14" spans="1:18">
      <c r="A14" s="3"/>
      <c r="B14" s="3"/>
      <c r="C14" s="3"/>
      <c r="D14" s="3"/>
      <c r="E14" s="3"/>
      <c r="F14" s="3"/>
      <c r="G14" s="3"/>
      <c r="H14" s="3"/>
      <c r="I14" s="3"/>
      <c r="J14" s="3"/>
      <c r="K14" s="3"/>
      <c r="L14" s="3"/>
      <c r="M14" s="3"/>
      <c r="N14" s="3"/>
      <c r="O14" s="3"/>
      <c r="P14" s="3"/>
      <c r="Q14" s="3"/>
      <c r="R14" s="3"/>
    </row>
    <row r="15" spans="1:18" ht="16">
      <c r="A15" s="16" t="s">
        <v>33</v>
      </c>
      <c r="B15" s="3"/>
      <c r="C15" s="3"/>
      <c r="D15" s="3"/>
      <c r="E15" s="3"/>
      <c r="F15" s="3"/>
      <c r="G15" s="3"/>
      <c r="H15" s="3"/>
      <c r="I15" s="3"/>
      <c r="J15" s="3"/>
      <c r="K15" s="3"/>
      <c r="L15" s="3"/>
      <c r="M15" s="3"/>
      <c r="N15" s="3"/>
      <c r="O15" s="3"/>
      <c r="P15" s="3"/>
      <c r="Q15" s="3"/>
      <c r="R15" s="3"/>
    </row>
    <row r="16" spans="1:18">
      <c r="A16" s="15" t="s">
        <v>0</v>
      </c>
      <c r="B16" s="15" t="s">
        <v>1</v>
      </c>
      <c r="C16" s="15" t="s">
        <v>2</v>
      </c>
      <c r="D16" s="15" t="s">
        <v>3</v>
      </c>
      <c r="E16" s="15" t="s">
        <v>4</v>
      </c>
      <c r="F16" s="15" t="s">
        <v>5</v>
      </c>
      <c r="G16" s="15" t="s">
        <v>16</v>
      </c>
      <c r="H16" s="15" t="s">
        <v>17</v>
      </c>
      <c r="I16" s="15" t="s">
        <v>18</v>
      </c>
      <c r="J16" s="15" t="s">
        <v>19</v>
      </c>
      <c r="K16" s="15" t="s">
        <v>20</v>
      </c>
      <c r="L16" s="15" t="s">
        <v>21</v>
      </c>
      <c r="M16" s="15" t="s">
        <v>23</v>
      </c>
      <c r="N16" s="15" t="s">
        <v>24</v>
      </c>
      <c r="O16" s="15" t="s">
        <v>25</v>
      </c>
      <c r="P16" s="15" t="s">
        <v>26</v>
      </c>
      <c r="Q16" s="15" t="s">
        <v>22</v>
      </c>
      <c r="R16" s="3"/>
    </row>
    <row r="17" spans="1:18" ht="14">
      <c r="A17" s="48" t="s">
        <v>173</v>
      </c>
      <c r="B17" s="77" t="s">
        <v>175</v>
      </c>
      <c r="C17" s="77" t="s">
        <v>12</v>
      </c>
      <c r="D17" s="78">
        <v>150</v>
      </c>
      <c r="E17" s="79">
        <v>40291</v>
      </c>
      <c r="F17" s="80">
        <v>20.14</v>
      </c>
      <c r="G17" s="40">
        <v>109621013986</v>
      </c>
      <c r="H17" s="174">
        <v>40.71</v>
      </c>
      <c r="I17" s="173">
        <v>40.840000000000003</v>
      </c>
      <c r="J17" s="39">
        <v>0.37</v>
      </c>
      <c r="K17" s="157">
        <v>28</v>
      </c>
      <c r="L17" s="156">
        <v>3049</v>
      </c>
      <c r="M17" s="156">
        <v>6106.5</v>
      </c>
      <c r="N17" s="172">
        <v>1.002787799278452</v>
      </c>
      <c r="O17" s="158">
        <v>110.02702702702703</v>
      </c>
      <c r="P17" s="83" t="s">
        <v>216</v>
      </c>
      <c r="Q17" s="166">
        <v>3.9378416229956276E-2</v>
      </c>
      <c r="R17" s="3"/>
    </row>
    <row r="18" spans="1:18">
      <c r="A18" s="3"/>
      <c r="B18" s="3"/>
      <c r="C18" s="3"/>
      <c r="D18" s="3"/>
      <c r="E18" s="3"/>
      <c r="F18" s="3"/>
      <c r="G18" s="3"/>
      <c r="H18" s="3"/>
      <c r="I18" s="3"/>
      <c r="J18" s="3"/>
      <c r="K18" s="3"/>
      <c r="L18" s="3"/>
      <c r="M18" s="3"/>
      <c r="N18" s="3"/>
      <c r="O18" s="3"/>
      <c r="P18" s="3"/>
      <c r="Q18" s="3"/>
      <c r="R18" s="3"/>
    </row>
    <row r="19" spans="1:18" ht="16">
      <c r="A19" s="16" t="s">
        <v>120</v>
      </c>
      <c r="B19" s="3"/>
      <c r="C19" s="3"/>
      <c r="D19" s="3"/>
      <c r="E19" s="3"/>
      <c r="F19" s="3"/>
      <c r="G19" s="3"/>
      <c r="H19" s="3"/>
      <c r="I19" s="3"/>
      <c r="J19" s="3"/>
      <c r="K19" s="3"/>
      <c r="L19" s="3"/>
      <c r="M19" s="3"/>
      <c r="N19" s="3"/>
      <c r="O19" s="3"/>
      <c r="P19" s="3"/>
      <c r="Q19" s="3"/>
      <c r="R19" s="3"/>
    </row>
    <row r="20" spans="1:18">
      <c r="A20" s="15" t="s">
        <v>0</v>
      </c>
      <c r="B20" s="15" t="s">
        <v>1</v>
      </c>
      <c r="C20" s="15" t="s">
        <v>2</v>
      </c>
      <c r="D20" s="15" t="s">
        <v>3</v>
      </c>
      <c r="E20" s="15" t="s">
        <v>4</v>
      </c>
      <c r="F20" s="15" t="s">
        <v>5</v>
      </c>
      <c r="G20" s="15" t="s">
        <v>16</v>
      </c>
      <c r="H20" s="15" t="s">
        <v>17</v>
      </c>
      <c r="I20" s="15" t="s">
        <v>18</v>
      </c>
      <c r="J20" s="15" t="s">
        <v>19</v>
      </c>
      <c r="K20" s="15" t="s">
        <v>20</v>
      </c>
      <c r="L20" s="15" t="s">
        <v>21</v>
      </c>
      <c r="M20" s="15" t="s">
        <v>23</v>
      </c>
      <c r="N20" s="15" t="s">
        <v>24</v>
      </c>
      <c r="O20" s="15" t="s">
        <v>25</v>
      </c>
      <c r="P20" s="15" t="s">
        <v>26</v>
      </c>
      <c r="Q20" s="15" t="s">
        <v>22</v>
      </c>
      <c r="R20" s="3"/>
    </row>
    <row r="21" spans="1:18" ht="14">
      <c r="A21" s="48" t="s">
        <v>103</v>
      </c>
      <c r="B21" s="77" t="s">
        <v>75</v>
      </c>
      <c r="C21" s="77" t="s">
        <v>14</v>
      </c>
      <c r="D21" s="78">
        <v>250</v>
      </c>
      <c r="E21" s="79">
        <v>40291</v>
      </c>
      <c r="F21" s="80">
        <v>19.21</v>
      </c>
      <c r="G21" s="40">
        <v>34041939137</v>
      </c>
      <c r="H21" s="174">
        <v>17.25</v>
      </c>
      <c r="I21" s="173">
        <v>16.96</v>
      </c>
      <c r="J21" s="39">
        <v>1.41</v>
      </c>
      <c r="K21" s="157">
        <v>28</v>
      </c>
      <c r="L21" s="156">
        <v>4830.5</v>
      </c>
      <c r="M21" s="156">
        <v>4312.5</v>
      </c>
      <c r="N21" s="172">
        <v>-0.10723527585136114</v>
      </c>
      <c r="O21" s="158">
        <v>12.23404255319149</v>
      </c>
      <c r="P21" s="83" t="s">
        <v>216</v>
      </c>
      <c r="Q21" s="166">
        <v>2.7809615981607541E-2</v>
      </c>
      <c r="R21" s="3"/>
    </row>
    <row r="22" spans="1:18">
      <c r="A22" s="3"/>
      <c r="B22" s="3"/>
      <c r="C22" s="3"/>
      <c r="D22" s="3"/>
      <c r="E22" s="3"/>
      <c r="F22" s="3"/>
      <c r="G22" s="3"/>
      <c r="H22" s="3"/>
      <c r="I22" s="3"/>
      <c r="J22" s="3"/>
      <c r="K22" s="3"/>
      <c r="L22" s="3"/>
      <c r="M22" s="3"/>
      <c r="N22" s="3"/>
      <c r="O22" s="3"/>
      <c r="P22" s="3"/>
      <c r="Q22" s="3"/>
      <c r="R22" s="3"/>
    </row>
    <row r="23" spans="1:18" ht="16">
      <c r="A23" s="16" t="s">
        <v>34</v>
      </c>
      <c r="B23" s="3"/>
      <c r="C23" s="3"/>
      <c r="D23" s="3"/>
      <c r="E23" s="3"/>
      <c r="F23" s="3"/>
      <c r="G23" s="3"/>
      <c r="H23" s="3"/>
      <c r="I23" s="3"/>
      <c r="J23" s="3"/>
      <c r="K23" s="3"/>
      <c r="L23" s="3"/>
      <c r="M23" s="3"/>
      <c r="N23" s="3"/>
      <c r="O23" s="3"/>
      <c r="P23" s="3"/>
      <c r="Q23" s="3"/>
      <c r="R23" s="3"/>
    </row>
    <row r="24" spans="1:18">
      <c r="A24" s="15" t="s">
        <v>0</v>
      </c>
      <c r="B24" s="15" t="s">
        <v>1</v>
      </c>
      <c r="C24" s="15" t="s">
        <v>2</v>
      </c>
      <c r="D24" s="15" t="s">
        <v>3</v>
      </c>
      <c r="E24" s="15" t="s">
        <v>4</v>
      </c>
      <c r="F24" s="15" t="s">
        <v>5</v>
      </c>
      <c r="G24" s="15" t="s">
        <v>16</v>
      </c>
      <c r="H24" s="15" t="s">
        <v>17</v>
      </c>
      <c r="I24" s="15" t="s">
        <v>18</v>
      </c>
      <c r="J24" s="15" t="s">
        <v>19</v>
      </c>
      <c r="K24" s="15" t="s">
        <v>20</v>
      </c>
      <c r="L24" s="15" t="s">
        <v>21</v>
      </c>
      <c r="M24" s="15" t="s">
        <v>23</v>
      </c>
      <c r="N24" s="15" t="s">
        <v>24</v>
      </c>
      <c r="O24" s="15" t="s">
        <v>25</v>
      </c>
      <c r="P24" s="15" t="s">
        <v>26</v>
      </c>
      <c r="Q24" s="15" t="s">
        <v>22</v>
      </c>
      <c r="R24" s="3"/>
    </row>
    <row r="25" spans="1:18" ht="28">
      <c r="A25" s="48" t="s">
        <v>96</v>
      </c>
      <c r="B25" s="77" t="s">
        <v>71</v>
      </c>
      <c r="C25" s="77" t="s">
        <v>10</v>
      </c>
      <c r="D25" s="78">
        <v>50</v>
      </c>
      <c r="E25" s="79">
        <v>40291</v>
      </c>
      <c r="F25" s="80">
        <v>126.99</v>
      </c>
      <c r="G25" s="40">
        <v>152508037371</v>
      </c>
      <c r="H25" s="174">
        <v>162.30000000000001</v>
      </c>
      <c r="I25" s="173">
        <v>161.69</v>
      </c>
      <c r="J25" s="39">
        <v>12.38</v>
      </c>
      <c r="K25" s="157">
        <v>28</v>
      </c>
      <c r="L25" s="156">
        <v>6377.5</v>
      </c>
      <c r="M25" s="156">
        <v>8115.0000000000009</v>
      </c>
      <c r="N25" s="172">
        <v>0.27244217953743644</v>
      </c>
      <c r="O25" s="158">
        <v>13.109854604200324</v>
      </c>
      <c r="P25" s="83" t="s">
        <v>216</v>
      </c>
      <c r="Q25" s="166">
        <v>5.2330442594955409E-2</v>
      </c>
      <c r="R25" s="3"/>
    </row>
    <row r="26" spans="1:18">
      <c r="A26" s="3"/>
      <c r="B26" s="3"/>
      <c r="C26" s="3"/>
      <c r="D26" s="3"/>
      <c r="E26" s="3"/>
      <c r="F26" s="3"/>
      <c r="G26" s="3"/>
      <c r="H26" s="3"/>
      <c r="I26" s="3"/>
      <c r="J26" s="3"/>
      <c r="K26" s="3"/>
      <c r="L26" s="3"/>
      <c r="M26" s="3"/>
      <c r="N26" s="3"/>
      <c r="O26" s="3"/>
      <c r="P26" s="3"/>
      <c r="Q26" s="3"/>
      <c r="R26" s="3"/>
    </row>
    <row r="27" spans="1:18" ht="16">
      <c r="A27" s="16" t="s">
        <v>35</v>
      </c>
      <c r="B27" s="3"/>
      <c r="C27" s="3"/>
      <c r="D27" s="3"/>
      <c r="E27" s="3"/>
      <c r="F27" s="3"/>
      <c r="G27" s="3"/>
      <c r="H27" s="3"/>
      <c r="I27" s="3"/>
      <c r="J27" s="3"/>
      <c r="K27" s="3"/>
      <c r="L27" s="3"/>
      <c r="M27" s="3"/>
      <c r="N27" s="3"/>
      <c r="O27" s="3"/>
      <c r="P27" s="3"/>
      <c r="Q27" s="3"/>
      <c r="R27" s="3"/>
    </row>
    <row r="28" spans="1:18">
      <c r="A28" s="15" t="s">
        <v>0</v>
      </c>
      <c r="B28" s="15" t="s">
        <v>1</v>
      </c>
      <c r="C28" s="15" t="s">
        <v>2</v>
      </c>
      <c r="D28" s="15" t="s">
        <v>3</v>
      </c>
      <c r="E28" s="15" t="s">
        <v>4</v>
      </c>
      <c r="F28" s="15" t="s">
        <v>5</v>
      </c>
      <c r="G28" s="15" t="s">
        <v>16</v>
      </c>
      <c r="H28" s="15" t="s">
        <v>17</v>
      </c>
      <c r="I28" s="15" t="s">
        <v>18</v>
      </c>
      <c r="J28" s="15" t="s">
        <v>19</v>
      </c>
      <c r="K28" s="15" t="s">
        <v>20</v>
      </c>
      <c r="L28" s="15" t="s">
        <v>21</v>
      </c>
      <c r="M28" s="15" t="s">
        <v>23</v>
      </c>
      <c r="N28" s="15" t="s">
        <v>24</v>
      </c>
      <c r="O28" s="15" t="s">
        <v>25</v>
      </c>
      <c r="P28" s="15" t="s">
        <v>26</v>
      </c>
      <c r="Q28" s="15" t="s">
        <v>22</v>
      </c>
    </row>
    <row r="29" spans="1:18" ht="28">
      <c r="A29" s="77" t="s">
        <v>50</v>
      </c>
      <c r="B29" s="77" t="s">
        <v>158</v>
      </c>
      <c r="C29" s="77" t="s">
        <v>11</v>
      </c>
      <c r="D29" s="78">
        <v>50</v>
      </c>
      <c r="E29" s="79">
        <v>40291</v>
      </c>
      <c r="F29" s="80">
        <v>13.11</v>
      </c>
      <c r="G29" s="40">
        <v>50166800</v>
      </c>
      <c r="H29" s="174">
        <v>2.74</v>
      </c>
      <c r="I29" s="173">
        <v>2.76</v>
      </c>
      <c r="J29" s="39">
        <v>-89.3</v>
      </c>
      <c r="K29" s="157">
        <v>6.5549999999999997</v>
      </c>
      <c r="L29" s="156">
        <v>662.05499999999995</v>
      </c>
      <c r="M29" s="156">
        <v>137</v>
      </c>
      <c r="N29" s="172">
        <v>-0.7930685517064292</v>
      </c>
      <c r="O29" s="158">
        <v>0</v>
      </c>
      <c r="P29" s="83" t="s">
        <v>217</v>
      </c>
      <c r="Q29" s="166">
        <v>8.7084337557707676E-4</v>
      </c>
    </row>
    <row r="33" spans="1:5" ht="15" customHeight="1">
      <c r="A33" s="291" t="s">
        <v>209</v>
      </c>
      <c r="B33" s="291"/>
      <c r="D33" s="323"/>
      <c r="E33" s="323"/>
    </row>
    <row r="34" spans="1:5">
      <c r="D34" s="322"/>
      <c r="E34" s="154"/>
    </row>
    <row r="35" spans="1:5">
      <c r="B35" s="324" t="s">
        <v>448</v>
      </c>
      <c r="C35" s="324"/>
      <c r="D35" s="324"/>
      <c r="E35" s="154"/>
    </row>
    <row r="36" spans="1:5">
      <c r="B36" s="324"/>
      <c r="C36" s="324"/>
      <c r="D36" s="324"/>
      <c r="E36" s="154"/>
    </row>
    <row r="37" spans="1:5">
      <c r="D37" s="322"/>
      <c r="E37" s="154"/>
    </row>
    <row r="38" spans="1:5">
      <c r="D38" s="322"/>
      <c r="E38" s="154"/>
    </row>
    <row r="39" spans="1:5">
      <c r="D39" s="322"/>
      <c r="E39" s="154"/>
    </row>
    <row r="40" spans="1:5">
      <c r="D40" s="322"/>
      <c r="E40" s="154"/>
    </row>
    <row r="41" spans="1:5">
      <c r="D41" s="322"/>
      <c r="E41" s="154"/>
    </row>
    <row r="42" spans="1:5">
      <c r="D42" s="322"/>
      <c r="E42" s="154"/>
    </row>
    <row r="43" spans="1:5">
      <c r="D43" s="322"/>
      <c r="E43" s="154"/>
    </row>
    <row r="44" spans="1:5">
      <c r="D44" s="322"/>
      <c r="E44" s="154"/>
    </row>
    <row r="45" spans="1:5">
      <c r="D45" s="322"/>
      <c r="E45" s="154"/>
    </row>
    <row r="46" spans="1:5">
      <c r="D46" s="322"/>
      <c r="E46" s="154"/>
    </row>
    <row r="47" spans="1:5">
      <c r="D47" s="322"/>
      <c r="E47" s="154"/>
    </row>
    <row r="48" spans="1:5">
      <c r="D48" s="322"/>
      <c r="E48" s="154"/>
    </row>
    <row r="49" spans="4:5">
      <c r="D49" s="322"/>
      <c r="E49" s="154"/>
    </row>
    <row r="50" spans="4:5">
      <c r="D50" s="322"/>
      <c r="E50" s="154"/>
    </row>
    <row r="51" spans="4:5">
      <c r="D51" s="322"/>
      <c r="E51" s="154"/>
    </row>
    <row r="52" spans="4:5">
      <c r="D52" s="322"/>
      <c r="E52" s="154"/>
    </row>
    <row r="53" spans="4:5">
      <c r="D53" s="322"/>
      <c r="E53" s="154"/>
    </row>
    <row r="54" spans="4:5">
      <c r="D54" s="322"/>
      <c r="E54" s="154"/>
    </row>
    <row r="55" spans="4:5">
      <c r="D55" s="322"/>
      <c r="E55" s="154"/>
    </row>
    <row r="56" spans="4:5">
      <c r="D56" s="322"/>
      <c r="E56" s="154"/>
    </row>
    <row r="57" spans="4:5">
      <c r="D57" s="322"/>
      <c r="E57" s="154"/>
    </row>
  </sheetData>
  <mergeCells count="3">
    <mergeCell ref="A33:B33"/>
    <mergeCell ref="D33:E33"/>
    <mergeCell ref="B35:D36"/>
  </mergeCells>
  <phoneticPr fontId="3" type="noConversion"/>
  <pageMargins left="0.75" right="0.75" top="1" bottom="1" header="0.5" footer="0.5"/>
  <pageSetup orientation="landscape" r:id="rId1"/>
  <headerFooter alignWithMargins="0">
    <oddHeader>&amp;CStephanie Agbenorhevi</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filterMode="1"/>
  <dimension ref="A1:Q42"/>
  <sheetViews>
    <sheetView view="pageLayout" zoomScaleNormal="100" workbookViewId="0">
      <selection activeCell="C44" sqref="C44"/>
    </sheetView>
  </sheetViews>
  <sheetFormatPr baseColWidth="10" defaultColWidth="8.83203125" defaultRowHeight="13"/>
  <cols>
    <col min="1" max="1" width="17.1640625" customWidth="1"/>
    <col min="2" max="2" width="32.5" customWidth="1"/>
    <col min="3" max="3" width="17.1640625" customWidth="1"/>
    <col min="4" max="4" width="17.6640625" bestFit="1" customWidth="1"/>
    <col min="5" max="5" width="14.33203125" bestFit="1" customWidth="1"/>
    <col min="6" max="6" width="14.83203125" bestFit="1" customWidth="1"/>
    <col min="7" max="7" width="18.5" bestFit="1" customWidth="1"/>
    <col min="8" max="8" width="10" bestFit="1" customWidth="1"/>
    <col min="9" max="9" width="14.5" bestFit="1" customWidth="1"/>
    <col min="10" max="10" width="18.83203125" bestFit="1" customWidth="1"/>
    <col min="11" max="11" width="12" bestFit="1" customWidth="1"/>
    <col min="12" max="12" width="10.6640625" bestFit="1" customWidth="1"/>
    <col min="13" max="13" width="13.6640625" bestFit="1" customWidth="1"/>
    <col min="14" max="14" width="12.5" bestFit="1" customWidth="1"/>
    <col min="15" max="15" width="9.33203125" bestFit="1" customWidth="1"/>
    <col min="16" max="16" width="20.5" bestFit="1" customWidth="1"/>
    <col min="17" max="17" width="20" bestFit="1" customWidth="1"/>
  </cols>
  <sheetData>
    <row r="1" spans="1:17" ht="16">
      <c r="A1" s="292"/>
      <c r="B1" s="292"/>
      <c r="C1" s="292"/>
      <c r="D1" s="292"/>
      <c r="E1" s="292"/>
      <c r="F1" s="292"/>
      <c r="G1" s="292"/>
    </row>
    <row r="2" spans="1:17" ht="23">
      <c r="A2" s="11" t="s">
        <v>187</v>
      </c>
    </row>
    <row r="3" spans="1:17">
      <c r="A3" s="1" t="s">
        <v>0</v>
      </c>
      <c r="B3" s="1" t="s">
        <v>1</v>
      </c>
      <c r="C3" s="1" t="s">
        <v>2</v>
      </c>
      <c r="D3" s="1" t="s">
        <v>3</v>
      </c>
      <c r="E3" s="1" t="s">
        <v>4</v>
      </c>
      <c r="F3" s="1" t="s">
        <v>5</v>
      </c>
      <c r="G3" s="1" t="s">
        <v>16</v>
      </c>
      <c r="H3" s="1" t="s">
        <v>17</v>
      </c>
      <c r="I3" s="1" t="s">
        <v>18</v>
      </c>
      <c r="J3" s="1" t="s">
        <v>19</v>
      </c>
      <c r="K3" s="1" t="s">
        <v>20</v>
      </c>
      <c r="L3" s="1" t="s">
        <v>21</v>
      </c>
      <c r="M3" s="1" t="s">
        <v>23</v>
      </c>
      <c r="N3" s="1" t="s">
        <v>24</v>
      </c>
      <c r="O3" s="1" t="s">
        <v>25</v>
      </c>
      <c r="P3" s="1" t="s">
        <v>26</v>
      </c>
      <c r="Q3" s="1" t="s">
        <v>22</v>
      </c>
    </row>
    <row r="4" spans="1:17">
      <c r="A4" s="45" t="s">
        <v>171</v>
      </c>
      <c r="B4" s="45" t="s">
        <v>174</v>
      </c>
      <c r="C4" s="45" t="s">
        <v>12</v>
      </c>
      <c r="D4" s="45">
        <v>100</v>
      </c>
      <c r="E4" s="120">
        <v>40291</v>
      </c>
      <c r="F4" s="119">
        <v>28.53</v>
      </c>
      <c r="G4" s="173">
        <v>75323415209</v>
      </c>
      <c r="H4" s="174">
        <v>43.98</v>
      </c>
      <c r="I4" s="173">
        <v>43.59</v>
      </c>
      <c r="J4" s="39">
        <v>0.94</v>
      </c>
      <c r="K4" s="157">
        <v>28</v>
      </c>
      <c r="L4" s="156">
        <v>2881</v>
      </c>
      <c r="M4" s="156">
        <v>4398</v>
      </c>
      <c r="N4" s="172">
        <v>0.5265532801110725</v>
      </c>
      <c r="O4" s="158">
        <v>46.787234042553187</v>
      </c>
      <c r="P4" s="83" t="s">
        <v>216</v>
      </c>
      <c r="Q4" s="166">
        <v>2.7955979312321046E-2</v>
      </c>
    </row>
    <row r="5" spans="1:17">
      <c r="A5" s="45" t="s">
        <v>171</v>
      </c>
      <c r="B5" s="45" t="s">
        <v>174</v>
      </c>
      <c r="C5" s="45" t="s">
        <v>12</v>
      </c>
      <c r="D5" s="45">
        <v>100</v>
      </c>
      <c r="E5" s="120">
        <v>40291</v>
      </c>
      <c r="F5" s="119">
        <v>28.53</v>
      </c>
      <c r="G5" s="173">
        <v>75323415209</v>
      </c>
      <c r="H5" s="174">
        <v>43.98</v>
      </c>
      <c r="I5" s="173">
        <v>43.59</v>
      </c>
      <c r="J5" s="39">
        <v>0.94</v>
      </c>
      <c r="K5" s="157">
        <v>28</v>
      </c>
      <c r="L5" s="156">
        <v>2881</v>
      </c>
      <c r="M5" s="156">
        <v>4398</v>
      </c>
      <c r="N5" s="172">
        <v>0.5265532801110725</v>
      </c>
      <c r="O5" s="158">
        <v>46.787234042553187</v>
      </c>
      <c r="P5" s="83" t="s">
        <v>216</v>
      </c>
      <c r="Q5" s="166">
        <v>2.7955979312321046E-2</v>
      </c>
    </row>
    <row r="6" spans="1:17" ht="14">
      <c r="A6" s="48" t="s">
        <v>168</v>
      </c>
      <c r="B6" s="77" t="s">
        <v>66</v>
      </c>
      <c r="C6" s="77" t="s">
        <v>6</v>
      </c>
      <c r="D6" s="78">
        <v>100</v>
      </c>
      <c r="E6" s="79">
        <v>40291</v>
      </c>
      <c r="F6" s="80">
        <v>67.88</v>
      </c>
      <c r="G6" s="173">
        <v>15857072051</v>
      </c>
      <c r="H6" s="174">
        <v>99.59</v>
      </c>
      <c r="I6" s="173">
        <v>98.04</v>
      </c>
      <c r="J6" s="39">
        <v>5.59</v>
      </c>
      <c r="K6" s="157">
        <v>28</v>
      </c>
      <c r="L6" s="156">
        <v>6816</v>
      </c>
      <c r="M6" s="156">
        <v>9959</v>
      </c>
      <c r="N6" s="172">
        <v>0.46112089201877932</v>
      </c>
      <c r="O6" s="158">
        <v>17.815742397137747</v>
      </c>
      <c r="P6" s="83" t="s">
        <v>216</v>
      </c>
      <c r="Q6" s="166">
        <v>6.3304592535562823E-2</v>
      </c>
    </row>
    <row r="7" spans="1:17" ht="14">
      <c r="A7" s="48" t="s">
        <v>91</v>
      </c>
      <c r="B7" s="77" t="s">
        <v>145</v>
      </c>
      <c r="C7" s="77" t="s">
        <v>7</v>
      </c>
      <c r="D7" s="78">
        <v>100</v>
      </c>
      <c r="E7" s="79">
        <v>40291</v>
      </c>
      <c r="F7" s="80">
        <v>34.46</v>
      </c>
      <c r="G7" s="173">
        <v>17434838571</v>
      </c>
      <c r="H7" s="174">
        <v>57.5</v>
      </c>
      <c r="I7" s="173">
        <v>57.28</v>
      </c>
      <c r="J7" s="39">
        <v>1.61</v>
      </c>
      <c r="K7" s="157">
        <v>28</v>
      </c>
      <c r="L7" s="156">
        <v>3474</v>
      </c>
      <c r="M7" s="156">
        <v>5750</v>
      </c>
      <c r="N7" s="172">
        <v>0.65515256188831317</v>
      </c>
      <c r="O7" s="158">
        <v>35.714285714285715</v>
      </c>
      <c r="P7" s="83" t="s">
        <v>216</v>
      </c>
      <c r="Q7" s="166">
        <v>3.6549995690278766E-2</v>
      </c>
    </row>
    <row r="8" spans="1:17" ht="14">
      <c r="A8" s="48" t="s">
        <v>44</v>
      </c>
      <c r="B8" s="77" t="s">
        <v>80</v>
      </c>
      <c r="C8" s="77" t="s">
        <v>7</v>
      </c>
      <c r="D8" s="78">
        <v>200</v>
      </c>
      <c r="E8" s="79">
        <v>40291</v>
      </c>
      <c r="F8" s="80">
        <v>23.15</v>
      </c>
      <c r="G8" s="173">
        <v>17224304201</v>
      </c>
      <c r="H8" s="174">
        <v>40.72</v>
      </c>
      <c r="I8" s="173">
        <v>40.479999999999997</v>
      </c>
      <c r="J8" s="39">
        <v>1.38</v>
      </c>
      <c r="K8" s="157">
        <v>28</v>
      </c>
      <c r="L8" s="156">
        <v>4658</v>
      </c>
      <c r="M8" s="156">
        <v>8144</v>
      </c>
      <c r="N8" s="172">
        <v>0.74838986689566334</v>
      </c>
      <c r="O8" s="158">
        <v>29.507246376811597</v>
      </c>
      <c r="P8" s="83" t="s">
        <v>216</v>
      </c>
      <c r="Q8" s="166">
        <v>5.1767506939413961E-2</v>
      </c>
    </row>
    <row r="9" spans="1:17" ht="14">
      <c r="A9" s="48" t="s">
        <v>92</v>
      </c>
      <c r="B9" s="77" t="s">
        <v>69</v>
      </c>
      <c r="C9" s="77" t="s">
        <v>8</v>
      </c>
      <c r="D9" s="78">
        <v>100</v>
      </c>
      <c r="E9" s="79">
        <v>40291</v>
      </c>
      <c r="F9" s="80">
        <v>69.41</v>
      </c>
      <c r="G9" s="173">
        <v>20590550000</v>
      </c>
      <c r="H9" s="174">
        <v>39.700000000000003</v>
      </c>
      <c r="I9" s="173">
        <v>39.25</v>
      </c>
      <c r="J9" s="39">
        <v>-6.52</v>
      </c>
      <c r="K9" s="157">
        <v>28</v>
      </c>
      <c r="L9" s="156">
        <v>6969</v>
      </c>
      <c r="M9" s="156">
        <v>3970.0000000000005</v>
      </c>
      <c r="N9" s="172">
        <v>-0.43033433778160418</v>
      </c>
      <c r="O9" s="158">
        <v>0</v>
      </c>
      <c r="P9" s="83" t="s">
        <v>216</v>
      </c>
      <c r="Q9" s="166">
        <v>2.5235388328766387E-2</v>
      </c>
    </row>
    <row r="10" spans="1:17" ht="14">
      <c r="A10" s="48" t="s">
        <v>93</v>
      </c>
      <c r="B10" s="77" t="s">
        <v>70</v>
      </c>
      <c r="C10" s="77" t="s">
        <v>7</v>
      </c>
      <c r="D10" s="78">
        <v>100</v>
      </c>
      <c r="E10" s="79">
        <v>40291</v>
      </c>
      <c r="F10" s="80">
        <v>70.63</v>
      </c>
      <c r="G10" s="173">
        <v>33323671651</v>
      </c>
      <c r="H10" s="174">
        <v>57.88</v>
      </c>
      <c r="I10" s="173">
        <v>57.84</v>
      </c>
      <c r="J10" s="39">
        <v>2.7</v>
      </c>
      <c r="K10" s="157">
        <v>28</v>
      </c>
      <c r="L10" s="156">
        <v>7091</v>
      </c>
      <c r="M10" s="156">
        <v>5788</v>
      </c>
      <c r="N10" s="172">
        <v>-0.18375405443519954</v>
      </c>
      <c r="O10" s="158">
        <v>21.437037037037037</v>
      </c>
      <c r="P10" s="83" t="s">
        <v>216</v>
      </c>
      <c r="Q10" s="166">
        <v>3.679154348788409E-2</v>
      </c>
    </row>
    <row r="11" spans="1:17" ht="14">
      <c r="A11" s="48" t="s">
        <v>173</v>
      </c>
      <c r="B11" s="77" t="s">
        <v>175</v>
      </c>
      <c r="C11" s="77" t="s">
        <v>12</v>
      </c>
      <c r="D11" s="78">
        <v>150</v>
      </c>
      <c r="E11" s="79">
        <v>40291</v>
      </c>
      <c r="F11" s="80">
        <v>20.14</v>
      </c>
      <c r="G11" s="173">
        <v>109621013986</v>
      </c>
      <c r="H11" s="174">
        <v>40.71</v>
      </c>
      <c r="I11" s="173">
        <v>40.840000000000003</v>
      </c>
      <c r="J11" s="39">
        <v>0.37</v>
      </c>
      <c r="K11" s="157">
        <v>28</v>
      </c>
      <c r="L11" s="156">
        <v>3049</v>
      </c>
      <c r="M11" s="156">
        <v>6106.5</v>
      </c>
      <c r="N11" s="172">
        <v>1.002787799278452</v>
      </c>
      <c r="O11" s="158">
        <v>110.02702702702703</v>
      </c>
      <c r="P11" s="83" t="s">
        <v>216</v>
      </c>
      <c r="Q11" s="166">
        <v>3.8816095423076048E-2</v>
      </c>
    </row>
    <row r="12" spans="1:17" ht="14" hidden="1">
      <c r="A12" s="43" t="s">
        <v>94</v>
      </c>
      <c r="B12" s="44" t="s">
        <v>146</v>
      </c>
      <c r="C12" s="77" t="s">
        <v>9</v>
      </c>
      <c r="D12" s="78">
        <v>30</v>
      </c>
      <c r="E12" s="79">
        <v>40291</v>
      </c>
      <c r="F12" s="80">
        <v>40.53</v>
      </c>
      <c r="G12" s="173">
        <v>11939394310</v>
      </c>
      <c r="H12" s="174">
        <v>96.01</v>
      </c>
      <c r="I12" s="173">
        <v>95.51</v>
      </c>
      <c r="J12" s="39">
        <v>4.34</v>
      </c>
      <c r="K12" s="157">
        <v>12.159000000000001</v>
      </c>
      <c r="L12" s="156">
        <v>1228.0590000000002</v>
      </c>
      <c r="M12" s="156">
        <v>2880.3</v>
      </c>
      <c r="N12" s="172">
        <v>1.3454084860743658</v>
      </c>
      <c r="O12" s="158">
        <v>22.122119815668206</v>
      </c>
      <c r="P12" s="83" t="s">
        <v>216</v>
      </c>
      <c r="Q12" s="166">
        <v>1.8308687406384336E-2</v>
      </c>
    </row>
    <row r="13" spans="1:17" ht="18" hidden="1" customHeight="1">
      <c r="A13" s="48" t="s">
        <v>52</v>
      </c>
      <c r="B13" s="77" t="s">
        <v>147</v>
      </c>
      <c r="C13" s="45" t="s">
        <v>10</v>
      </c>
      <c r="D13" s="23">
        <v>100</v>
      </c>
      <c r="E13" s="46">
        <v>40291</v>
      </c>
      <c r="F13" s="47">
        <v>18.53</v>
      </c>
      <c r="G13" s="173">
        <v>31076572682</v>
      </c>
      <c r="H13" s="174">
        <v>18.52</v>
      </c>
      <c r="I13" s="173">
        <v>18.38</v>
      </c>
      <c r="J13" s="39">
        <v>1.46</v>
      </c>
      <c r="K13" s="157">
        <v>18.53</v>
      </c>
      <c r="L13" s="156">
        <v>1871.53</v>
      </c>
      <c r="M13" s="156">
        <v>1852</v>
      </c>
      <c r="N13" s="172">
        <v>-1.0435312284601355E-2</v>
      </c>
      <c r="O13" s="158">
        <v>12.684931506849315</v>
      </c>
      <c r="P13" s="83" t="s">
        <v>216</v>
      </c>
      <c r="Q13" s="166">
        <v>1.1772276872764571E-2</v>
      </c>
    </row>
    <row r="14" spans="1:17" ht="14">
      <c r="A14" s="48" t="s">
        <v>95</v>
      </c>
      <c r="B14" s="77" t="s">
        <v>148</v>
      </c>
      <c r="C14" s="77" t="s">
        <v>7</v>
      </c>
      <c r="D14" s="78">
        <v>100</v>
      </c>
      <c r="E14" s="79">
        <v>40291</v>
      </c>
      <c r="F14" s="80">
        <v>48.72</v>
      </c>
      <c r="G14" s="173">
        <v>23104464730</v>
      </c>
      <c r="H14" s="174">
        <v>108.8</v>
      </c>
      <c r="I14" s="173">
        <v>108.63</v>
      </c>
      <c r="J14" s="39">
        <v>3.34</v>
      </c>
      <c r="K14" s="157">
        <v>28</v>
      </c>
      <c r="L14" s="156">
        <v>4900</v>
      </c>
      <c r="M14" s="156">
        <v>10880</v>
      </c>
      <c r="N14" s="172">
        <v>1.2204081632653061</v>
      </c>
      <c r="O14" s="158">
        <v>32.574850299401199</v>
      </c>
      <c r="P14" s="83" t="s">
        <v>216</v>
      </c>
      <c r="Q14" s="166">
        <v>6.9158948366997042E-2</v>
      </c>
    </row>
    <row r="15" spans="1:17" ht="14">
      <c r="A15" s="48" t="s">
        <v>96</v>
      </c>
      <c r="B15" s="77" t="s">
        <v>71</v>
      </c>
      <c r="C15" s="77" t="s">
        <v>10</v>
      </c>
      <c r="D15" s="78">
        <v>50</v>
      </c>
      <c r="E15" s="79">
        <v>40291</v>
      </c>
      <c r="F15" s="80">
        <v>126.99</v>
      </c>
      <c r="G15" s="173">
        <v>152508037371</v>
      </c>
      <c r="H15" s="174">
        <v>162.30000000000001</v>
      </c>
      <c r="I15" s="173">
        <v>161.69</v>
      </c>
      <c r="J15" s="39">
        <v>12.38</v>
      </c>
      <c r="K15" s="157">
        <v>28</v>
      </c>
      <c r="L15" s="156">
        <v>6377.5</v>
      </c>
      <c r="M15" s="156">
        <v>8115.0000000000009</v>
      </c>
      <c r="N15" s="172">
        <v>0.27244217953743644</v>
      </c>
      <c r="O15" s="158">
        <v>13.109854604200324</v>
      </c>
      <c r="P15" s="83" t="s">
        <v>216</v>
      </c>
      <c r="Q15" s="166">
        <v>5.1583167830715169E-2</v>
      </c>
    </row>
    <row r="16" spans="1:17" ht="14">
      <c r="A16" s="48" t="s">
        <v>97</v>
      </c>
      <c r="B16" s="77" t="s">
        <v>149</v>
      </c>
      <c r="C16" s="77" t="s">
        <v>11</v>
      </c>
      <c r="D16" s="78">
        <v>100</v>
      </c>
      <c r="E16" s="79">
        <v>40291</v>
      </c>
      <c r="F16" s="80">
        <v>56.48</v>
      </c>
      <c r="G16" s="173">
        <v>3457914174</v>
      </c>
      <c r="H16" s="174">
        <v>39.96</v>
      </c>
      <c r="I16" s="173">
        <v>39</v>
      </c>
      <c r="J16" s="39">
        <v>2.0699999999999998</v>
      </c>
      <c r="K16" s="157">
        <v>28</v>
      </c>
      <c r="L16" s="156">
        <v>5676</v>
      </c>
      <c r="M16" s="156">
        <v>3996</v>
      </c>
      <c r="N16" s="172">
        <v>-0.29598308668076112</v>
      </c>
      <c r="O16" s="158">
        <v>19.304347826086957</v>
      </c>
      <c r="P16" s="83" t="s">
        <v>217</v>
      </c>
      <c r="Q16" s="166">
        <v>2.540065787449634E-2</v>
      </c>
    </row>
    <row r="17" spans="1:17" ht="14">
      <c r="A17" s="48" t="s">
        <v>98</v>
      </c>
      <c r="B17" s="77" t="s">
        <v>72</v>
      </c>
      <c r="C17" s="77" t="s">
        <v>11</v>
      </c>
      <c r="D17" s="78">
        <v>100</v>
      </c>
      <c r="E17" s="79">
        <v>40291</v>
      </c>
      <c r="F17" s="80">
        <v>34.229999999999997</v>
      </c>
      <c r="G17" s="173">
        <v>38749953547</v>
      </c>
      <c r="H17" s="174">
        <v>41.73</v>
      </c>
      <c r="I17" s="173">
        <v>41.28</v>
      </c>
      <c r="J17" s="39">
        <v>-1.64</v>
      </c>
      <c r="K17" s="157">
        <v>28</v>
      </c>
      <c r="L17" s="156">
        <v>3450.9999999999995</v>
      </c>
      <c r="M17" s="156">
        <v>4173</v>
      </c>
      <c r="N17" s="172">
        <v>0.20921472037090713</v>
      </c>
      <c r="O17" s="158">
        <v>0</v>
      </c>
      <c r="P17" s="83" t="s">
        <v>216</v>
      </c>
      <c r="Q17" s="166">
        <v>2.6525762089657963E-2</v>
      </c>
    </row>
    <row r="18" spans="1:17" ht="14">
      <c r="A18" s="48" t="s">
        <v>99</v>
      </c>
      <c r="B18" s="77" t="s">
        <v>73</v>
      </c>
      <c r="C18" s="77" t="s">
        <v>12</v>
      </c>
      <c r="D18" s="78">
        <v>88</v>
      </c>
      <c r="E18" s="79">
        <v>40291</v>
      </c>
      <c r="F18" s="80">
        <v>65.040000000000006</v>
      </c>
      <c r="G18" s="173">
        <v>329020961069</v>
      </c>
      <c r="H18" s="174">
        <v>121.87</v>
      </c>
      <c r="I18" s="173">
        <v>121.37</v>
      </c>
      <c r="J18" s="39">
        <v>5.93</v>
      </c>
      <c r="K18" s="157">
        <v>28</v>
      </c>
      <c r="L18" s="156">
        <v>5751.52</v>
      </c>
      <c r="M18" s="156">
        <v>10724.560000000001</v>
      </c>
      <c r="N18" s="172">
        <v>0.86464795393217797</v>
      </c>
      <c r="O18" s="158">
        <v>20.551433389544691</v>
      </c>
      <c r="P18" s="83" t="s">
        <v>216</v>
      </c>
      <c r="Q18" s="166">
        <v>6.8170890744371493E-2</v>
      </c>
    </row>
    <row r="19" spans="1:17" ht="14">
      <c r="A19" s="48" t="s">
        <v>100</v>
      </c>
      <c r="B19" s="77" t="s">
        <v>150</v>
      </c>
      <c r="C19" s="77" t="s">
        <v>13</v>
      </c>
      <c r="D19" s="78">
        <v>200</v>
      </c>
      <c r="E19" s="79">
        <v>40291</v>
      </c>
      <c r="F19" s="80">
        <v>49.48</v>
      </c>
      <c r="G19" s="173">
        <v>6752919598</v>
      </c>
      <c r="H19" s="174">
        <v>40.76</v>
      </c>
      <c r="I19" s="173">
        <v>39.18</v>
      </c>
      <c r="J19" s="39">
        <v>3.11</v>
      </c>
      <c r="K19" s="157">
        <v>28</v>
      </c>
      <c r="L19" s="156">
        <v>9924</v>
      </c>
      <c r="M19" s="156">
        <v>8152</v>
      </c>
      <c r="N19" s="172">
        <v>-0.17855703345425231</v>
      </c>
      <c r="O19" s="158">
        <v>13.106109324758842</v>
      </c>
      <c r="P19" s="83" t="s">
        <v>218</v>
      </c>
      <c r="Q19" s="166">
        <v>5.1818359107330868E-2</v>
      </c>
    </row>
    <row r="20" spans="1:17" ht="14" hidden="1">
      <c r="A20" s="48" t="s">
        <v>122</v>
      </c>
      <c r="B20" s="77" t="s">
        <v>151</v>
      </c>
      <c r="C20" s="77" t="s">
        <v>12</v>
      </c>
      <c r="D20" s="78">
        <v>50</v>
      </c>
      <c r="E20" s="79">
        <v>40291</v>
      </c>
      <c r="F20" s="80">
        <v>35.46</v>
      </c>
      <c r="G20" s="173">
        <v>89250333937</v>
      </c>
      <c r="H20" s="174">
        <v>81.94</v>
      </c>
      <c r="I20" s="173">
        <v>80.89</v>
      </c>
      <c r="J20" s="39">
        <v>2.58</v>
      </c>
      <c r="K20" s="157">
        <v>17.73</v>
      </c>
      <c r="L20" s="156">
        <v>1790.73</v>
      </c>
      <c r="M20" s="156">
        <v>4097</v>
      </c>
      <c r="N20" s="172">
        <v>1.2878937639956889</v>
      </c>
      <c r="O20" s="158">
        <v>31.759689922480618</v>
      </c>
      <c r="P20" s="83" t="s">
        <v>216</v>
      </c>
      <c r="Q20" s="166">
        <v>2.6042666494447322E-2</v>
      </c>
    </row>
    <row r="21" spans="1:17" ht="14">
      <c r="A21" s="48" t="s">
        <v>165</v>
      </c>
      <c r="B21" s="77" t="s">
        <v>152</v>
      </c>
      <c r="C21" s="77" t="s">
        <v>13</v>
      </c>
      <c r="D21" s="78">
        <v>150</v>
      </c>
      <c r="E21" s="79">
        <v>40291</v>
      </c>
      <c r="F21" s="80">
        <v>29.48</v>
      </c>
      <c r="G21" s="173">
        <v>8877882353</v>
      </c>
      <c r="H21" s="174">
        <v>30.01</v>
      </c>
      <c r="I21" s="173">
        <v>29.09</v>
      </c>
      <c r="J21" s="39">
        <v>1.99</v>
      </c>
      <c r="K21" s="157">
        <v>28</v>
      </c>
      <c r="L21" s="156">
        <v>4450</v>
      </c>
      <c r="M21" s="156">
        <v>4501.5</v>
      </c>
      <c r="N21" s="172">
        <v>1.1573033707865169E-2</v>
      </c>
      <c r="O21" s="158">
        <v>15.080402010050252</v>
      </c>
      <c r="P21" s="83" t="s">
        <v>218</v>
      </c>
      <c r="Q21" s="166">
        <v>2.8613879234746065E-2</v>
      </c>
    </row>
    <row r="22" spans="1:17" ht="14" hidden="1">
      <c r="A22" s="48" t="s">
        <v>101</v>
      </c>
      <c r="B22" s="77" t="s">
        <v>153</v>
      </c>
      <c r="C22" s="77" t="s">
        <v>9</v>
      </c>
      <c r="D22" s="78">
        <v>50</v>
      </c>
      <c r="E22" s="79">
        <v>40291</v>
      </c>
      <c r="F22" s="80">
        <v>23.54</v>
      </c>
      <c r="G22" s="173">
        <v>8600521944</v>
      </c>
      <c r="H22" s="174">
        <v>25.21</v>
      </c>
      <c r="I22" s="173">
        <v>25.11</v>
      </c>
      <c r="J22" s="39">
        <v>0.92</v>
      </c>
      <c r="K22" s="157">
        <v>11.77</v>
      </c>
      <c r="L22" s="156">
        <v>1188.77</v>
      </c>
      <c r="M22" s="156">
        <v>1260.5</v>
      </c>
      <c r="N22" s="172">
        <v>6.0339678827695871E-2</v>
      </c>
      <c r="O22" s="158">
        <v>27.402173913043477</v>
      </c>
      <c r="P22" s="83" t="s">
        <v>218</v>
      </c>
      <c r="Q22" s="166">
        <v>8.012394707408067E-3</v>
      </c>
    </row>
    <row r="23" spans="1:17" ht="14" hidden="1">
      <c r="A23" s="48" t="s">
        <v>102</v>
      </c>
      <c r="B23" s="77" t="s">
        <v>74</v>
      </c>
      <c r="C23" s="77" t="s">
        <v>14</v>
      </c>
      <c r="D23" s="78">
        <v>240</v>
      </c>
      <c r="E23" s="79">
        <v>40291</v>
      </c>
      <c r="F23" s="80">
        <v>10.48</v>
      </c>
      <c r="G23" s="173">
        <v>1172951869</v>
      </c>
      <c r="H23" s="174">
        <v>8.7200000000000006</v>
      </c>
      <c r="I23" s="173">
        <v>8.6999999999999993</v>
      </c>
      <c r="J23" s="39">
        <v>-2.54</v>
      </c>
      <c r="K23" s="157">
        <v>25.152000000000005</v>
      </c>
      <c r="L23" s="156">
        <v>2540.3520000000003</v>
      </c>
      <c r="M23" s="156">
        <v>2092.8000000000002</v>
      </c>
      <c r="N23" s="172">
        <v>-0.17617715970070291</v>
      </c>
      <c r="O23" s="158">
        <v>0</v>
      </c>
      <c r="P23" s="83" t="s">
        <v>217</v>
      </c>
      <c r="Q23" s="166">
        <v>1.330292712706355E-2</v>
      </c>
    </row>
    <row r="24" spans="1:17" ht="14">
      <c r="A24" s="48" t="s">
        <v>103</v>
      </c>
      <c r="B24" s="77" t="s">
        <v>75</v>
      </c>
      <c r="C24" s="77" t="s">
        <v>14</v>
      </c>
      <c r="D24" s="78">
        <v>250</v>
      </c>
      <c r="E24" s="79">
        <v>40291</v>
      </c>
      <c r="F24" s="80">
        <v>19.21</v>
      </c>
      <c r="G24" s="173">
        <v>34041939137</v>
      </c>
      <c r="H24" s="174">
        <v>17.25</v>
      </c>
      <c r="I24" s="173">
        <v>16.96</v>
      </c>
      <c r="J24" s="39">
        <v>1.41</v>
      </c>
      <c r="K24" s="157">
        <v>28</v>
      </c>
      <c r="L24" s="156">
        <v>4830.5</v>
      </c>
      <c r="M24" s="156">
        <v>4312.5</v>
      </c>
      <c r="N24" s="172">
        <v>-0.10723527585136114</v>
      </c>
      <c r="O24" s="158">
        <v>12.23404255319149</v>
      </c>
      <c r="P24" s="83" t="s">
        <v>216</v>
      </c>
      <c r="Q24" s="166">
        <v>2.7412496767709075E-2</v>
      </c>
    </row>
    <row r="25" spans="1:17" ht="14">
      <c r="A25" s="48" t="s">
        <v>167</v>
      </c>
      <c r="B25" s="77" t="s">
        <v>154</v>
      </c>
      <c r="C25" s="77" t="s">
        <v>10</v>
      </c>
      <c r="D25" s="78">
        <v>150</v>
      </c>
      <c r="E25" s="79">
        <v>40291</v>
      </c>
      <c r="F25" s="80">
        <v>30.96</v>
      </c>
      <c r="G25" s="173">
        <v>502598539492</v>
      </c>
      <c r="H25" s="174">
        <v>65.5</v>
      </c>
      <c r="I25" s="173">
        <v>65.040000000000006</v>
      </c>
      <c r="J25" s="39">
        <v>2.13</v>
      </c>
      <c r="K25" s="157">
        <v>28</v>
      </c>
      <c r="L25" s="156">
        <v>4672</v>
      </c>
      <c r="M25" s="156">
        <v>9825</v>
      </c>
      <c r="N25" s="172">
        <v>1.1029537671232876</v>
      </c>
      <c r="O25" s="158">
        <v>30.751173708920188</v>
      </c>
      <c r="P25" s="83" t="s">
        <v>216</v>
      </c>
      <c r="Q25" s="166">
        <v>6.2452818722954585E-2</v>
      </c>
    </row>
    <row r="26" spans="1:17" ht="14" hidden="1">
      <c r="A26" s="77" t="s">
        <v>104</v>
      </c>
      <c r="B26" s="77" t="s">
        <v>76</v>
      </c>
      <c r="C26" s="77" t="s">
        <v>8</v>
      </c>
      <c r="D26" s="78">
        <v>50</v>
      </c>
      <c r="E26" s="79">
        <v>40291</v>
      </c>
      <c r="F26" s="80">
        <v>22.61</v>
      </c>
      <c r="G26" s="173">
        <v>3412743063</v>
      </c>
      <c r="H26" s="174">
        <v>11.77</v>
      </c>
      <c r="I26" s="173">
        <v>11.96</v>
      </c>
      <c r="J26" s="39">
        <v>-3.64</v>
      </c>
      <c r="K26" s="157">
        <v>11.305</v>
      </c>
      <c r="L26" s="156">
        <v>1141.8050000000001</v>
      </c>
      <c r="M26" s="156">
        <v>588.5</v>
      </c>
      <c r="N26" s="172">
        <v>-0.48458799882641962</v>
      </c>
      <c r="O26" s="158">
        <v>0</v>
      </c>
      <c r="P26" s="83" t="s">
        <v>217</v>
      </c>
      <c r="Q26" s="166">
        <v>3.7408126023876615E-3</v>
      </c>
    </row>
    <row r="27" spans="1:17" ht="14">
      <c r="A27" s="77" t="s">
        <v>105</v>
      </c>
      <c r="B27" s="77" t="s">
        <v>77</v>
      </c>
      <c r="C27" s="77" t="s">
        <v>10</v>
      </c>
      <c r="D27" s="78">
        <v>200</v>
      </c>
      <c r="E27" s="79">
        <v>40291</v>
      </c>
      <c r="F27" s="80">
        <v>14.32</v>
      </c>
      <c r="G27" s="173">
        <v>4504830000</v>
      </c>
      <c r="H27" s="174">
        <v>35.89</v>
      </c>
      <c r="I27" s="173">
        <v>36.299999999999997</v>
      </c>
      <c r="J27" s="39">
        <v>1.49</v>
      </c>
      <c r="K27" s="157">
        <v>28</v>
      </c>
      <c r="L27" s="156">
        <v>2892</v>
      </c>
      <c r="M27" s="156">
        <v>7178</v>
      </c>
      <c r="N27" s="172">
        <v>1.4820193637621024</v>
      </c>
      <c r="O27" s="158">
        <v>24.087248322147651</v>
      </c>
      <c r="P27" s="83" t="s">
        <v>217</v>
      </c>
      <c r="Q27" s="166">
        <v>4.5627107663447131E-2</v>
      </c>
    </row>
    <row r="28" spans="1:17" ht="14">
      <c r="A28" s="77" t="s">
        <v>106</v>
      </c>
      <c r="B28" s="77" t="s">
        <v>155</v>
      </c>
      <c r="C28" s="77" t="s">
        <v>8</v>
      </c>
      <c r="D28" s="78">
        <v>100</v>
      </c>
      <c r="E28" s="79">
        <v>40291</v>
      </c>
      <c r="F28" s="80">
        <v>43.63</v>
      </c>
      <c r="G28" s="173">
        <v>1279686860</v>
      </c>
      <c r="H28" s="174">
        <v>5.31</v>
      </c>
      <c r="I28" s="173">
        <v>5.23</v>
      </c>
      <c r="J28" s="39">
        <v>-3.82</v>
      </c>
      <c r="K28" s="157">
        <v>28</v>
      </c>
      <c r="L28" s="156">
        <v>4391</v>
      </c>
      <c r="M28" s="156">
        <v>531</v>
      </c>
      <c r="N28" s="172">
        <v>-0.87907082669095882</v>
      </c>
      <c r="O28" s="158">
        <v>0</v>
      </c>
      <c r="P28" s="83" t="s">
        <v>217</v>
      </c>
      <c r="Q28" s="166">
        <v>3.375312645484874E-3</v>
      </c>
    </row>
    <row r="29" spans="1:17" ht="14" hidden="1">
      <c r="A29" s="77" t="s">
        <v>107</v>
      </c>
      <c r="B29" s="77" t="s">
        <v>78</v>
      </c>
      <c r="C29" s="77" t="s">
        <v>14</v>
      </c>
      <c r="D29" s="78">
        <v>10</v>
      </c>
      <c r="E29" s="79">
        <v>40291</v>
      </c>
      <c r="F29" s="80">
        <v>20.86</v>
      </c>
      <c r="G29" s="173">
        <v>22579661595</v>
      </c>
      <c r="H29" s="174">
        <v>39.409999999999997</v>
      </c>
      <c r="I29" s="173">
        <v>38.869999999999997</v>
      </c>
      <c r="J29" s="39">
        <v>1.76</v>
      </c>
      <c r="K29" s="157">
        <v>2.0859999999999999</v>
      </c>
      <c r="L29" s="156">
        <v>210.68600000000001</v>
      </c>
      <c r="M29" s="156">
        <v>394.09999999999997</v>
      </c>
      <c r="N29" s="172">
        <v>0.87055618313509175</v>
      </c>
      <c r="O29" s="158">
        <v>22.392045454545453</v>
      </c>
      <c r="P29" s="83" t="s">
        <v>216</v>
      </c>
      <c r="Q29" s="166">
        <v>2.5051049220067585E-3</v>
      </c>
    </row>
    <row r="30" spans="1:17" ht="14">
      <c r="A30" s="77" t="s">
        <v>108</v>
      </c>
      <c r="B30" s="77" t="s">
        <v>156</v>
      </c>
      <c r="C30" s="77" t="s">
        <v>13</v>
      </c>
      <c r="D30" s="78">
        <v>150</v>
      </c>
      <c r="E30" s="79">
        <v>40291</v>
      </c>
      <c r="F30" s="80">
        <v>48.01</v>
      </c>
      <c r="G30" s="173">
        <v>49645861156</v>
      </c>
      <c r="H30" s="174">
        <v>78.17</v>
      </c>
      <c r="I30" s="173">
        <v>76.900000000000006</v>
      </c>
      <c r="J30" s="39">
        <v>3.46</v>
      </c>
      <c r="K30" s="157">
        <v>28</v>
      </c>
      <c r="L30" s="156">
        <v>7229.5</v>
      </c>
      <c r="M30" s="156">
        <v>11725.5</v>
      </c>
      <c r="N30" s="172">
        <v>0.62189639670793273</v>
      </c>
      <c r="O30" s="158">
        <v>22.592485549132949</v>
      </c>
      <c r="P30" s="83" t="s">
        <v>216</v>
      </c>
      <c r="Q30" s="166">
        <v>7.4533386863715426E-2</v>
      </c>
    </row>
    <row r="31" spans="1:17" ht="14">
      <c r="A31" s="77" t="s">
        <v>109</v>
      </c>
      <c r="B31" s="77" t="s">
        <v>157</v>
      </c>
      <c r="C31" s="77" t="s">
        <v>13</v>
      </c>
      <c r="D31" s="78">
        <v>100</v>
      </c>
      <c r="E31" s="79">
        <v>40291</v>
      </c>
      <c r="F31" s="80">
        <v>56.53</v>
      </c>
      <c r="G31" s="173">
        <v>224654982481</v>
      </c>
      <c r="H31" s="174">
        <v>74.8</v>
      </c>
      <c r="I31" s="173">
        <v>74.069999999999993</v>
      </c>
      <c r="J31" s="39">
        <v>4.38</v>
      </c>
      <c r="K31" s="157">
        <v>28</v>
      </c>
      <c r="L31" s="156">
        <v>5681</v>
      </c>
      <c r="M31" s="156">
        <v>7480</v>
      </c>
      <c r="N31" s="172">
        <v>0.31666960042246084</v>
      </c>
      <c r="O31" s="158">
        <v>17.077625570776256</v>
      </c>
      <c r="P31" s="83" t="s">
        <v>216</v>
      </c>
      <c r="Q31" s="166">
        <v>4.7546777002310463E-2</v>
      </c>
    </row>
    <row r="32" spans="1:17" ht="14">
      <c r="A32" s="77" t="s">
        <v>110</v>
      </c>
      <c r="B32" s="77" t="s">
        <v>79</v>
      </c>
      <c r="C32" s="77" t="s">
        <v>15</v>
      </c>
      <c r="D32" s="78">
        <v>50</v>
      </c>
      <c r="E32" s="79">
        <v>40291</v>
      </c>
      <c r="F32" s="80">
        <v>59.24</v>
      </c>
      <c r="G32" s="173">
        <v>4953343427</v>
      </c>
      <c r="H32" s="174">
        <v>30.51</v>
      </c>
      <c r="I32" s="173">
        <v>28.42</v>
      </c>
      <c r="J32" s="39">
        <v>-2.81</v>
      </c>
      <c r="K32" s="157">
        <v>28</v>
      </c>
      <c r="L32" s="156">
        <v>2990</v>
      </c>
      <c r="M32" s="156">
        <v>1525.5</v>
      </c>
      <c r="N32" s="172">
        <v>-0.4897993311036789</v>
      </c>
      <c r="O32" s="158">
        <v>0</v>
      </c>
      <c r="P32" s="83" t="s">
        <v>217</v>
      </c>
      <c r="Q32" s="166">
        <v>9.6968727696556973E-3</v>
      </c>
    </row>
    <row r="33" spans="1:17" ht="14" hidden="1">
      <c r="A33" s="77" t="s">
        <v>50</v>
      </c>
      <c r="B33" s="77" t="s">
        <v>158</v>
      </c>
      <c r="C33" s="77" t="s">
        <v>11</v>
      </c>
      <c r="D33" s="78">
        <v>50</v>
      </c>
      <c r="E33" s="79">
        <v>40291</v>
      </c>
      <c r="F33" s="80">
        <v>13.11</v>
      </c>
      <c r="G33" s="173">
        <v>50166800</v>
      </c>
      <c r="H33" s="174">
        <v>2.74</v>
      </c>
      <c r="I33" s="173">
        <v>2.76</v>
      </c>
      <c r="J33" s="39">
        <v>-89.3</v>
      </c>
      <c r="K33" s="157">
        <v>6.5549999999999997</v>
      </c>
      <c r="L33" s="156">
        <v>662.05499999999995</v>
      </c>
      <c r="M33" s="156">
        <v>137</v>
      </c>
      <c r="N33" s="172">
        <v>-0.7930685517064292</v>
      </c>
      <c r="O33" s="158">
        <v>0</v>
      </c>
      <c r="P33" s="83" t="s">
        <v>217</v>
      </c>
      <c r="Q33" s="166">
        <v>8.7084337557707676E-4</v>
      </c>
    </row>
    <row r="34" spans="1:17" ht="14" hidden="1">
      <c r="A34" s="77" t="s">
        <v>124</v>
      </c>
      <c r="B34" s="77" t="s">
        <v>125</v>
      </c>
      <c r="C34" s="77" t="s">
        <v>10</v>
      </c>
      <c r="D34" s="78">
        <v>50</v>
      </c>
      <c r="E34" s="79">
        <v>40291</v>
      </c>
      <c r="F34" s="80">
        <v>17.64</v>
      </c>
      <c r="G34" s="173">
        <v>44954899199</v>
      </c>
      <c r="H34" s="174">
        <v>47.67</v>
      </c>
      <c r="I34" s="173">
        <v>47</v>
      </c>
      <c r="J34" s="39">
        <v>-0.23</v>
      </c>
      <c r="K34" s="157">
        <v>8.82</v>
      </c>
      <c r="L34" s="156">
        <v>890.82</v>
      </c>
      <c r="M34" s="156">
        <v>2383.5</v>
      </c>
      <c r="N34" s="172">
        <v>1.6756247053276754</v>
      </c>
      <c r="O34" s="158">
        <v>0</v>
      </c>
      <c r="P34" s="83" t="s">
        <v>216</v>
      </c>
      <c r="Q34" s="166">
        <v>1.515076777874425E-2</v>
      </c>
    </row>
    <row r="35" spans="1:17">
      <c r="A35" s="43"/>
      <c r="B35" s="43"/>
      <c r="C35" s="43"/>
      <c r="D35" s="43"/>
      <c r="E35" s="43"/>
      <c r="F35" s="43"/>
      <c r="G35" s="43"/>
      <c r="H35" s="43"/>
      <c r="I35" s="43"/>
      <c r="J35" s="43"/>
      <c r="K35" s="43"/>
      <c r="L35" s="37"/>
      <c r="M35" s="37"/>
      <c r="N35" s="37"/>
      <c r="O35" s="37"/>
      <c r="P35" s="37"/>
      <c r="Q35" s="37"/>
    </row>
    <row r="36" spans="1:17">
      <c r="A36" s="43"/>
      <c r="B36" s="43"/>
      <c r="C36" s="43"/>
      <c r="D36" s="43"/>
      <c r="E36" s="43"/>
      <c r="F36" s="43"/>
      <c r="G36" s="43"/>
      <c r="H36" s="43"/>
      <c r="I36" s="43"/>
      <c r="J36" s="43"/>
      <c r="K36" s="43"/>
      <c r="L36" s="37"/>
      <c r="M36" s="37"/>
      <c r="N36" s="37"/>
      <c r="O36" s="37"/>
      <c r="P36" s="37"/>
      <c r="Q36" s="37"/>
    </row>
    <row r="37" spans="1:17" ht="18" customHeight="1">
      <c r="A37" s="43"/>
      <c r="B37" s="43"/>
      <c r="C37" s="43"/>
      <c r="D37" s="43"/>
      <c r="E37" s="43"/>
      <c r="F37" s="43"/>
      <c r="G37" s="43"/>
      <c r="H37" s="43"/>
      <c r="I37" s="43"/>
      <c r="J37" s="43"/>
      <c r="K37" s="43"/>
      <c r="L37" s="37"/>
      <c r="M37" s="37"/>
      <c r="N37" s="37"/>
      <c r="O37" s="37"/>
      <c r="P37" s="37"/>
      <c r="Q37" s="37"/>
    </row>
    <row r="38" spans="1:17">
      <c r="A38" s="43"/>
      <c r="B38" s="43"/>
      <c r="C38" s="43"/>
      <c r="D38" s="43"/>
      <c r="E38" s="43"/>
      <c r="F38" s="43"/>
      <c r="G38" s="43"/>
      <c r="H38" s="43"/>
      <c r="I38" s="43"/>
      <c r="J38" s="43"/>
      <c r="K38" s="43"/>
      <c r="L38" s="37"/>
      <c r="M38" s="37"/>
      <c r="N38" s="37"/>
      <c r="O38" s="37"/>
      <c r="P38" s="37"/>
      <c r="Q38" s="37"/>
    </row>
    <row r="41" spans="1:17">
      <c r="A41" s="325" t="s">
        <v>447</v>
      </c>
      <c r="B41" s="325"/>
    </row>
    <row r="42" spans="1:17">
      <c r="A42" s="325"/>
      <c r="B42" s="325"/>
    </row>
  </sheetData>
  <autoFilter ref="A3:Q34" xr:uid="{40F04F64-72F7-5545-9301-8FA2951EFB9E}">
    <filterColumn colId="10">
      <filters>
        <filter val="$28.00"/>
      </filters>
    </filterColumn>
  </autoFilter>
  <mergeCells count="2">
    <mergeCell ref="A1:G1"/>
    <mergeCell ref="A41:B42"/>
  </mergeCells>
  <phoneticPr fontId="3" type="noConversion"/>
  <pageMargins left="0.75" right="0.75" top="1" bottom="1" header="0.5" footer="0.5"/>
  <pageSetup orientation="landscape" r:id="rId1"/>
  <headerFooter alignWithMargins="0">
    <oddHeader>&amp;CStephanie Agbenorhevi</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filterMode="1"/>
  <dimension ref="A1:Q38"/>
  <sheetViews>
    <sheetView view="pageLayout" zoomScaleNormal="100" workbookViewId="0">
      <selection activeCell="A37" sqref="A37:B38"/>
    </sheetView>
  </sheetViews>
  <sheetFormatPr baseColWidth="10" defaultColWidth="8.83203125" defaultRowHeight="13"/>
  <cols>
    <col min="1" max="1" width="17.1640625" customWidth="1"/>
    <col min="2" max="2" width="32.5" customWidth="1"/>
    <col min="3" max="3" width="17.1640625" customWidth="1"/>
    <col min="4" max="4" width="17.6640625" bestFit="1" customWidth="1"/>
    <col min="5" max="5" width="14.33203125" bestFit="1" customWidth="1"/>
    <col min="6" max="6" width="14.83203125" bestFit="1" customWidth="1"/>
    <col min="7" max="7" width="18.5" bestFit="1" customWidth="1"/>
    <col min="8" max="8" width="10" bestFit="1" customWidth="1"/>
    <col min="9" max="9" width="14.5" bestFit="1" customWidth="1"/>
    <col min="10" max="10" width="18.83203125" bestFit="1" customWidth="1"/>
    <col min="11" max="11" width="12" bestFit="1" customWidth="1"/>
    <col min="12" max="12" width="10.6640625" bestFit="1" customWidth="1"/>
    <col min="13" max="13" width="13.6640625" bestFit="1" customWidth="1"/>
    <col min="14" max="14" width="12.5" bestFit="1" customWidth="1"/>
    <col min="15" max="15" width="9.33203125" bestFit="1" customWidth="1"/>
    <col min="16" max="16" width="20.5" bestFit="1" customWidth="1"/>
    <col min="17" max="17" width="20" bestFit="1" customWidth="1"/>
  </cols>
  <sheetData>
    <row r="1" spans="1:17" ht="16">
      <c r="A1" s="292"/>
      <c r="B1" s="292"/>
      <c r="C1" s="292"/>
      <c r="D1" s="292"/>
      <c r="E1" s="292"/>
      <c r="F1" s="292"/>
      <c r="G1" s="292"/>
    </row>
    <row r="2" spans="1:17" ht="23">
      <c r="A2" s="11" t="s">
        <v>126</v>
      </c>
    </row>
    <row r="3" spans="1:17">
      <c r="A3" s="1" t="s">
        <v>0</v>
      </c>
      <c r="B3" s="1" t="s">
        <v>1</v>
      </c>
      <c r="C3" s="1" t="s">
        <v>2</v>
      </c>
      <c r="D3" s="1" t="s">
        <v>3</v>
      </c>
      <c r="E3" s="1" t="s">
        <v>4</v>
      </c>
      <c r="F3" s="1" t="s">
        <v>5</v>
      </c>
      <c r="G3" s="1" t="s">
        <v>16</v>
      </c>
      <c r="H3" s="1" t="s">
        <v>17</v>
      </c>
      <c r="I3" s="1" t="s">
        <v>18</v>
      </c>
      <c r="J3" s="1" t="s">
        <v>19</v>
      </c>
      <c r="K3" s="1" t="s">
        <v>20</v>
      </c>
      <c r="L3" s="1" t="s">
        <v>21</v>
      </c>
      <c r="M3" s="1" t="s">
        <v>23</v>
      </c>
      <c r="N3" s="1" t="s">
        <v>24</v>
      </c>
      <c r="O3" s="1" t="s">
        <v>25</v>
      </c>
      <c r="P3" s="1" t="s">
        <v>26</v>
      </c>
      <c r="Q3" s="1" t="s">
        <v>22</v>
      </c>
    </row>
    <row r="4" spans="1:17" hidden="1">
      <c r="A4" s="45" t="s">
        <v>171</v>
      </c>
      <c r="B4" s="45" t="s">
        <v>174</v>
      </c>
      <c r="C4" s="45" t="s">
        <v>12</v>
      </c>
      <c r="D4" s="45">
        <v>100</v>
      </c>
      <c r="E4" s="120">
        <v>40291</v>
      </c>
      <c r="F4" s="119">
        <v>28.53</v>
      </c>
      <c r="G4" s="173">
        <v>75323415209</v>
      </c>
      <c r="H4" s="174">
        <v>43.98</v>
      </c>
      <c r="I4" s="173">
        <v>43.59</v>
      </c>
      <c r="J4" s="39">
        <v>0.94</v>
      </c>
      <c r="K4" s="157">
        <v>28</v>
      </c>
      <c r="L4" s="156">
        <v>2881</v>
      </c>
      <c r="M4" s="156">
        <v>4398</v>
      </c>
      <c r="N4" s="172">
        <v>0.5265532801110725</v>
      </c>
      <c r="O4" s="158">
        <v>46.787234042553187</v>
      </c>
      <c r="P4" s="83" t="s">
        <v>216</v>
      </c>
      <c r="Q4" s="166">
        <v>2.7955979312321046E-2</v>
      </c>
    </row>
    <row r="5" spans="1:17" hidden="1">
      <c r="A5" s="45" t="s">
        <v>171</v>
      </c>
      <c r="B5" s="45" t="s">
        <v>174</v>
      </c>
      <c r="C5" s="45" t="s">
        <v>12</v>
      </c>
      <c r="D5" s="45">
        <v>100</v>
      </c>
      <c r="E5" s="120">
        <v>40291</v>
      </c>
      <c r="F5" s="119">
        <v>28.53</v>
      </c>
      <c r="G5" s="173">
        <v>75323415209</v>
      </c>
      <c r="H5" s="174">
        <v>43.98</v>
      </c>
      <c r="I5" s="173">
        <v>43.59</v>
      </c>
      <c r="J5" s="39">
        <v>0.94</v>
      </c>
      <c r="K5" s="157">
        <v>28</v>
      </c>
      <c r="L5" s="156">
        <v>2881</v>
      </c>
      <c r="M5" s="156">
        <v>4398</v>
      </c>
      <c r="N5" s="172">
        <v>0.5265532801110725</v>
      </c>
      <c r="O5" s="158">
        <v>46.787234042553187</v>
      </c>
      <c r="P5" s="83" t="s">
        <v>216</v>
      </c>
      <c r="Q5" s="166">
        <v>2.7955979312321046E-2</v>
      </c>
    </row>
    <row r="6" spans="1:17" ht="14" hidden="1">
      <c r="A6" s="48" t="s">
        <v>168</v>
      </c>
      <c r="B6" s="77" t="s">
        <v>66</v>
      </c>
      <c r="C6" s="77" t="s">
        <v>6</v>
      </c>
      <c r="D6" s="78">
        <v>100</v>
      </c>
      <c r="E6" s="79">
        <v>40291</v>
      </c>
      <c r="F6" s="80">
        <v>67.88</v>
      </c>
      <c r="G6" s="173">
        <v>15857072051</v>
      </c>
      <c r="H6" s="174">
        <v>99.59</v>
      </c>
      <c r="I6" s="173">
        <v>98.04</v>
      </c>
      <c r="J6" s="39">
        <v>5.59</v>
      </c>
      <c r="K6" s="157">
        <v>28</v>
      </c>
      <c r="L6" s="156">
        <v>6816</v>
      </c>
      <c r="M6" s="156">
        <v>9959</v>
      </c>
      <c r="N6" s="172">
        <v>0.46112089201877932</v>
      </c>
      <c r="O6" s="158">
        <v>17.815742397137747</v>
      </c>
      <c r="P6" s="83" t="s">
        <v>216</v>
      </c>
      <c r="Q6" s="166">
        <v>6.3304592535562823E-2</v>
      </c>
    </row>
    <row r="7" spans="1:17" ht="14" hidden="1">
      <c r="A7" s="48" t="s">
        <v>91</v>
      </c>
      <c r="B7" s="77" t="s">
        <v>145</v>
      </c>
      <c r="C7" s="77" t="s">
        <v>7</v>
      </c>
      <c r="D7" s="78">
        <v>100</v>
      </c>
      <c r="E7" s="79">
        <v>40291</v>
      </c>
      <c r="F7" s="80">
        <v>34.46</v>
      </c>
      <c r="G7" s="173">
        <v>17434838571</v>
      </c>
      <c r="H7" s="174">
        <v>57.5</v>
      </c>
      <c r="I7" s="173">
        <v>57.28</v>
      </c>
      <c r="J7" s="39">
        <v>1.61</v>
      </c>
      <c r="K7" s="157">
        <v>28</v>
      </c>
      <c r="L7" s="156">
        <v>3474</v>
      </c>
      <c r="M7" s="156">
        <v>5750</v>
      </c>
      <c r="N7" s="172">
        <v>0.65515256188831317</v>
      </c>
      <c r="O7" s="158">
        <v>35.714285714285715</v>
      </c>
      <c r="P7" s="83" t="s">
        <v>216</v>
      </c>
      <c r="Q7" s="166">
        <v>3.6549995690278766E-2</v>
      </c>
    </row>
    <row r="8" spans="1:17" ht="14" hidden="1">
      <c r="A8" s="48" t="s">
        <v>44</v>
      </c>
      <c r="B8" s="77" t="s">
        <v>80</v>
      </c>
      <c r="C8" s="77" t="s">
        <v>7</v>
      </c>
      <c r="D8" s="78">
        <v>200</v>
      </c>
      <c r="E8" s="79">
        <v>40291</v>
      </c>
      <c r="F8" s="80">
        <v>23.15</v>
      </c>
      <c r="G8" s="173">
        <v>17224304201</v>
      </c>
      <c r="H8" s="174">
        <v>40.72</v>
      </c>
      <c r="I8" s="173">
        <v>40.479999999999997</v>
      </c>
      <c r="J8" s="39">
        <v>1.38</v>
      </c>
      <c r="K8" s="157">
        <v>28</v>
      </c>
      <c r="L8" s="156">
        <v>4658</v>
      </c>
      <c r="M8" s="156">
        <v>8144</v>
      </c>
      <c r="N8" s="172">
        <v>0.74838986689566334</v>
      </c>
      <c r="O8" s="158">
        <v>29.507246376811597</v>
      </c>
      <c r="P8" s="83" t="s">
        <v>216</v>
      </c>
      <c r="Q8" s="166">
        <v>5.1767506939413961E-2</v>
      </c>
    </row>
    <row r="9" spans="1:17" ht="14" hidden="1">
      <c r="A9" s="48" t="s">
        <v>92</v>
      </c>
      <c r="B9" s="77" t="s">
        <v>69</v>
      </c>
      <c r="C9" s="77" t="s">
        <v>8</v>
      </c>
      <c r="D9" s="78">
        <v>100</v>
      </c>
      <c r="E9" s="79">
        <v>40291</v>
      </c>
      <c r="F9" s="80">
        <v>69.41</v>
      </c>
      <c r="G9" s="173">
        <v>20590550000</v>
      </c>
      <c r="H9" s="174">
        <v>39.700000000000003</v>
      </c>
      <c r="I9" s="173">
        <v>39.25</v>
      </c>
      <c r="J9" s="39">
        <v>-6.52</v>
      </c>
      <c r="K9" s="157">
        <v>28</v>
      </c>
      <c r="L9" s="156">
        <v>6969</v>
      </c>
      <c r="M9" s="156">
        <v>3970.0000000000005</v>
      </c>
      <c r="N9" s="172">
        <v>-0.43033433778160418</v>
      </c>
      <c r="O9" s="158">
        <v>0</v>
      </c>
      <c r="P9" s="83" t="s">
        <v>216</v>
      </c>
      <c r="Q9" s="166">
        <v>2.5235388328766387E-2</v>
      </c>
    </row>
    <row r="10" spans="1:17" ht="14" hidden="1">
      <c r="A10" s="48" t="s">
        <v>93</v>
      </c>
      <c r="B10" s="77" t="s">
        <v>70</v>
      </c>
      <c r="C10" s="77" t="s">
        <v>7</v>
      </c>
      <c r="D10" s="78">
        <v>100</v>
      </c>
      <c r="E10" s="79">
        <v>40291</v>
      </c>
      <c r="F10" s="80">
        <v>70.63</v>
      </c>
      <c r="G10" s="173">
        <v>33323671651</v>
      </c>
      <c r="H10" s="174">
        <v>57.88</v>
      </c>
      <c r="I10" s="173">
        <v>57.84</v>
      </c>
      <c r="J10" s="39">
        <v>2.7</v>
      </c>
      <c r="K10" s="157">
        <v>28</v>
      </c>
      <c r="L10" s="156">
        <v>7091</v>
      </c>
      <c r="M10" s="156">
        <v>5788</v>
      </c>
      <c r="N10" s="172">
        <v>-0.18375405443519954</v>
      </c>
      <c r="O10" s="158">
        <v>21.437037037037037</v>
      </c>
      <c r="P10" s="83" t="s">
        <v>216</v>
      </c>
      <c r="Q10" s="166">
        <v>3.679154348788409E-2</v>
      </c>
    </row>
    <row r="11" spans="1:17" ht="14" hidden="1">
      <c r="A11" s="48" t="s">
        <v>173</v>
      </c>
      <c r="B11" s="77" t="s">
        <v>175</v>
      </c>
      <c r="C11" s="77" t="s">
        <v>12</v>
      </c>
      <c r="D11" s="78">
        <v>150</v>
      </c>
      <c r="E11" s="79">
        <v>40291</v>
      </c>
      <c r="F11" s="80">
        <v>20.14</v>
      </c>
      <c r="G11" s="173">
        <v>109621013986</v>
      </c>
      <c r="H11" s="174">
        <v>40.71</v>
      </c>
      <c r="I11" s="173">
        <v>40.840000000000003</v>
      </c>
      <c r="J11" s="39">
        <v>0.37</v>
      </c>
      <c r="K11" s="157">
        <v>28</v>
      </c>
      <c r="L11" s="156">
        <v>3049</v>
      </c>
      <c r="M11" s="156">
        <v>6106.5</v>
      </c>
      <c r="N11" s="172">
        <v>1.002787799278452</v>
      </c>
      <c r="O11" s="158">
        <v>110.02702702702703</v>
      </c>
      <c r="P11" s="83" t="s">
        <v>216</v>
      </c>
      <c r="Q11" s="166">
        <v>3.8816095423076048E-2</v>
      </c>
    </row>
    <row r="12" spans="1:17" ht="14">
      <c r="A12" s="43" t="s">
        <v>94</v>
      </c>
      <c r="B12" s="44" t="s">
        <v>146</v>
      </c>
      <c r="C12" s="77" t="s">
        <v>9</v>
      </c>
      <c r="D12" s="78">
        <v>30</v>
      </c>
      <c r="E12" s="79">
        <v>40291</v>
      </c>
      <c r="F12" s="80">
        <v>40.53</v>
      </c>
      <c r="G12" s="173">
        <v>11939394310</v>
      </c>
      <c r="H12" s="174">
        <v>96.01</v>
      </c>
      <c r="I12" s="173">
        <v>95.51</v>
      </c>
      <c r="J12" s="39">
        <v>4.34</v>
      </c>
      <c r="K12" s="157">
        <v>12.159000000000001</v>
      </c>
      <c r="L12" s="156">
        <v>1228.0590000000002</v>
      </c>
      <c r="M12" s="156">
        <v>2880.3</v>
      </c>
      <c r="N12" s="172">
        <v>1.3454084860743658</v>
      </c>
      <c r="O12" s="158">
        <v>22.122119815668206</v>
      </c>
      <c r="P12" s="83" t="s">
        <v>216</v>
      </c>
      <c r="Q12" s="166">
        <v>1.8308687406384336E-2</v>
      </c>
    </row>
    <row r="13" spans="1:17" ht="12.75" customHeight="1">
      <c r="A13" s="48" t="s">
        <v>52</v>
      </c>
      <c r="B13" s="77" t="s">
        <v>147</v>
      </c>
      <c r="C13" s="45" t="s">
        <v>10</v>
      </c>
      <c r="D13" s="23">
        <v>100</v>
      </c>
      <c r="E13" s="46">
        <v>40291</v>
      </c>
      <c r="F13" s="47">
        <v>18.53</v>
      </c>
      <c r="G13" s="173">
        <v>31076572682</v>
      </c>
      <c r="H13" s="174">
        <v>18.52</v>
      </c>
      <c r="I13" s="173">
        <v>18.38</v>
      </c>
      <c r="J13" s="39">
        <v>1.46</v>
      </c>
      <c r="K13" s="157">
        <v>18.53</v>
      </c>
      <c r="L13" s="156">
        <v>1871.53</v>
      </c>
      <c r="M13" s="156">
        <v>1852</v>
      </c>
      <c r="N13" s="172">
        <v>-1.0435312284601355E-2</v>
      </c>
      <c r="O13" s="158">
        <v>12.684931506849315</v>
      </c>
      <c r="P13" s="83" t="s">
        <v>216</v>
      </c>
      <c r="Q13" s="166">
        <v>1.1772276872764571E-2</v>
      </c>
    </row>
    <row r="14" spans="1:17" ht="14" hidden="1">
      <c r="A14" s="48" t="s">
        <v>95</v>
      </c>
      <c r="B14" s="77" t="s">
        <v>148</v>
      </c>
      <c r="C14" s="77" t="s">
        <v>7</v>
      </c>
      <c r="D14" s="78">
        <v>100</v>
      </c>
      <c r="E14" s="79">
        <v>40291</v>
      </c>
      <c r="F14" s="80">
        <v>48.72</v>
      </c>
      <c r="G14" s="173">
        <v>23104464730</v>
      </c>
      <c r="H14" s="174">
        <v>108.8</v>
      </c>
      <c r="I14" s="173">
        <v>108.63</v>
      </c>
      <c r="J14" s="39">
        <v>3.34</v>
      </c>
      <c r="K14" s="157">
        <v>28</v>
      </c>
      <c r="L14" s="156">
        <v>4900</v>
      </c>
      <c r="M14" s="156">
        <v>10880</v>
      </c>
      <c r="N14" s="172">
        <v>1.2204081632653061</v>
      </c>
      <c r="O14" s="158">
        <v>32.574850299401199</v>
      </c>
      <c r="P14" s="83" t="s">
        <v>216</v>
      </c>
      <c r="Q14" s="166">
        <v>6.9158948366997042E-2</v>
      </c>
    </row>
    <row r="15" spans="1:17" ht="14" hidden="1">
      <c r="A15" s="48" t="s">
        <v>96</v>
      </c>
      <c r="B15" s="77" t="s">
        <v>71</v>
      </c>
      <c r="C15" s="77" t="s">
        <v>10</v>
      </c>
      <c r="D15" s="78">
        <v>50</v>
      </c>
      <c r="E15" s="79">
        <v>40291</v>
      </c>
      <c r="F15" s="80">
        <v>126.99</v>
      </c>
      <c r="G15" s="173">
        <v>152508037371</v>
      </c>
      <c r="H15" s="174">
        <v>162.30000000000001</v>
      </c>
      <c r="I15" s="173">
        <v>161.69</v>
      </c>
      <c r="J15" s="39">
        <v>12.38</v>
      </c>
      <c r="K15" s="157">
        <v>28</v>
      </c>
      <c r="L15" s="156">
        <v>6377.5</v>
      </c>
      <c r="M15" s="156">
        <v>8115.0000000000009</v>
      </c>
      <c r="N15" s="172">
        <v>0.27244217953743644</v>
      </c>
      <c r="O15" s="158">
        <v>13.109854604200324</v>
      </c>
      <c r="P15" s="83" t="s">
        <v>216</v>
      </c>
      <c r="Q15" s="166">
        <v>5.1583167830715169E-2</v>
      </c>
    </row>
    <row r="16" spans="1:17" ht="14" hidden="1">
      <c r="A16" s="48" t="s">
        <v>97</v>
      </c>
      <c r="B16" s="77" t="s">
        <v>149</v>
      </c>
      <c r="C16" s="77" t="s">
        <v>11</v>
      </c>
      <c r="D16" s="78">
        <v>100</v>
      </c>
      <c r="E16" s="79">
        <v>40291</v>
      </c>
      <c r="F16" s="80">
        <v>56.48</v>
      </c>
      <c r="G16" s="173">
        <v>3457914174</v>
      </c>
      <c r="H16" s="174">
        <v>39.96</v>
      </c>
      <c r="I16" s="173">
        <v>39</v>
      </c>
      <c r="J16" s="39">
        <v>2.0699999999999998</v>
      </c>
      <c r="K16" s="157">
        <v>28</v>
      </c>
      <c r="L16" s="156">
        <v>5676</v>
      </c>
      <c r="M16" s="156">
        <v>3996</v>
      </c>
      <c r="N16" s="172">
        <v>-0.29598308668076112</v>
      </c>
      <c r="O16" s="158">
        <v>19.304347826086957</v>
      </c>
      <c r="P16" s="83" t="s">
        <v>217</v>
      </c>
      <c r="Q16" s="166">
        <v>2.540065787449634E-2</v>
      </c>
    </row>
    <row r="17" spans="1:17" ht="14" hidden="1">
      <c r="A17" s="48" t="s">
        <v>98</v>
      </c>
      <c r="B17" s="77" t="s">
        <v>72</v>
      </c>
      <c r="C17" s="77" t="s">
        <v>11</v>
      </c>
      <c r="D17" s="78">
        <v>100</v>
      </c>
      <c r="E17" s="79">
        <v>40291</v>
      </c>
      <c r="F17" s="80">
        <v>34.229999999999997</v>
      </c>
      <c r="G17" s="173">
        <v>38749953547</v>
      </c>
      <c r="H17" s="174">
        <v>41.73</v>
      </c>
      <c r="I17" s="173">
        <v>41.28</v>
      </c>
      <c r="J17" s="39">
        <v>-1.64</v>
      </c>
      <c r="K17" s="157">
        <v>28</v>
      </c>
      <c r="L17" s="156">
        <v>3450.9999999999995</v>
      </c>
      <c r="M17" s="156">
        <v>4173</v>
      </c>
      <c r="N17" s="172">
        <v>0.20921472037090713</v>
      </c>
      <c r="O17" s="158">
        <v>0</v>
      </c>
      <c r="P17" s="83" t="s">
        <v>216</v>
      </c>
      <c r="Q17" s="166">
        <v>2.6525762089657963E-2</v>
      </c>
    </row>
    <row r="18" spans="1:17" ht="14" hidden="1">
      <c r="A18" s="48" t="s">
        <v>99</v>
      </c>
      <c r="B18" s="77" t="s">
        <v>73</v>
      </c>
      <c r="C18" s="77" t="s">
        <v>12</v>
      </c>
      <c r="D18" s="78">
        <v>88</v>
      </c>
      <c r="E18" s="79">
        <v>40291</v>
      </c>
      <c r="F18" s="80">
        <v>65.040000000000006</v>
      </c>
      <c r="G18" s="173">
        <v>329020961069</v>
      </c>
      <c r="H18" s="174">
        <v>121.87</v>
      </c>
      <c r="I18" s="173">
        <v>121.37</v>
      </c>
      <c r="J18" s="39">
        <v>5.93</v>
      </c>
      <c r="K18" s="157">
        <v>28</v>
      </c>
      <c r="L18" s="156">
        <v>5751.52</v>
      </c>
      <c r="M18" s="156">
        <v>10724.560000000001</v>
      </c>
      <c r="N18" s="172">
        <v>0.86464795393217797</v>
      </c>
      <c r="O18" s="158">
        <v>20.551433389544691</v>
      </c>
      <c r="P18" s="83" t="s">
        <v>216</v>
      </c>
      <c r="Q18" s="166">
        <v>6.8170890744371493E-2</v>
      </c>
    </row>
    <row r="19" spans="1:17" ht="14" hidden="1">
      <c r="A19" s="48" t="s">
        <v>100</v>
      </c>
      <c r="B19" s="77" t="s">
        <v>150</v>
      </c>
      <c r="C19" s="77" t="s">
        <v>13</v>
      </c>
      <c r="D19" s="78">
        <v>200</v>
      </c>
      <c r="E19" s="79">
        <v>40291</v>
      </c>
      <c r="F19" s="80">
        <v>49.48</v>
      </c>
      <c r="G19" s="173">
        <v>6752919598</v>
      </c>
      <c r="H19" s="174">
        <v>40.76</v>
      </c>
      <c r="I19" s="173">
        <v>39.18</v>
      </c>
      <c r="J19" s="39">
        <v>3.11</v>
      </c>
      <c r="K19" s="157">
        <v>28</v>
      </c>
      <c r="L19" s="156">
        <v>9924</v>
      </c>
      <c r="M19" s="156">
        <v>8152</v>
      </c>
      <c r="N19" s="172">
        <v>-0.17855703345425231</v>
      </c>
      <c r="O19" s="158">
        <v>13.106109324758842</v>
      </c>
      <c r="P19" s="83" t="s">
        <v>218</v>
      </c>
      <c r="Q19" s="166">
        <v>5.1818359107330868E-2</v>
      </c>
    </row>
    <row r="20" spans="1:17" ht="14">
      <c r="A20" s="48" t="s">
        <v>122</v>
      </c>
      <c r="B20" s="77" t="s">
        <v>151</v>
      </c>
      <c r="C20" s="77" t="s">
        <v>12</v>
      </c>
      <c r="D20" s="78">
        <v>50</v>
      </c>
      <c r="E20" s="79">
        <v>40291</v>
      </c>
      <c r="F20" s="80">
        <v>35.46</v>
      </c>
      <c r="G20" s="173">
        <v>89250333937</v>
      </c>
      <c r="H20" s="174">
        <v>81.94</v>
      </c>
      <c r="I20" s="173">
        <v>80.89</v>
      </c>
      <c r="J20" s="39">
        <v>2.58</v>
      </c>
      <c r="K20" s="157">
        <v>17.73</v>
      </c>
      <c r="L20" s="156">
        <v>1790.73</v>
      </c>
      <c r="M20" s="156">
        <v>4097</v>
      </c>
      <c r="N20" s="172">
        <v>1.2878937639956889</v>
      </c>
      <c r="O20" s="158">
        <v>31.759689922480618</v>
      </c>
      <c r="P20" s="83" t="s">
        <v>216</v>
      </c>
      <c r="Q20" s="166">
        <v>2.6042666494447322E-2</v>
      </c>
    </row>
    <row r="21" spans="1:17" ht="14" hidden="1">
      <c r="A21" s="48" t="s">
        <v>165</v>
      </c>
      <c r="B21" s="77" t="s">
        <v>152</v>
      </c>
      <c r="C21" s="77" t="s">
        <v>13</v>
      </c>
      <c r="D21" s="78">
        <v>150</v>
      </c>
      <c r="E21" s="79">
        <v>40291</v>
      </c>
      <c r="F21" s="80">
        <v>29.48</v>
      </c>
      <c r="G21" s="173">
        <v>8877882353</v>
      </c>
      <c r="H21" s="174">
        <v>30.01</v>
      </c>
      <c r="I21" s="173">
        <v>29.09</v>
      </c>
      <c r="J21" s="39">
        <v>1.99</v>
      </c>
      <c r="K21" s="157">
        <v>28</v>
      </c>
      <c r="L21" s="156">
        <v>4450</v>
      </c>
      <c r="M21" s="156">
        <v>4501.5</v>
      </c>
      <c r="N21" s="172">
        <v>1.1573033707865169E-2</v>
      </c>
      <c r="O21" s="158">
        <v>15.080402010050252</v>
      </c>
      <c r="P21" s="83" t="s">
        <v>218</v>
      </c>
      <c r="Q21" s="166">
        <v>2.8613879234746065E-2</v>
      </c>
    </row>
    <row r="22" spans="1:17" ht="14">
      <c r="A22" s="48" t="s">
        <v>101</v>
      </c>
      <c r="B22" s="77" t="s">
        <v>153</v>
      </c>
      <c r="C22" s="77" t="s">
        <v>9</v>
      </c>
      <c r="D22" s="78">
        <v>50</v>
      </c>
      <c r="E22" s="79">
        <v>40291</v>
      </c>
      <c r="F22" s="80">
        <v>23.54</v>
      </c>
      <c r="G22" s="173">
        <v>8600521944</v>
      </c>
      <c r="H22" s="174">
        <v>25.21</v>
      </c>
      <c r="I22" s="173">
        <v>25.11</v>
      </c>
      <c r="J22" s="39">
        <v>0.92</v>
      </c>
      <c r="K22" s="157">
        <v>11.77</v>
      </c>
      <c r="L22" s="156">
        <v>1188.77</v>
      </c>
      <c r="M22" s="156">
        <v>1260.5</v>
      </c>
      <c r="N22" s="172">
        <v>6.0339678827695871E-2</v>
      </c>
      <c r="O22" s="158">
        <v>27.402173913043477</v>
      </c>
      <c r="P22" s="83" t="s">
        <v>218</v>
      </c>
      <c r="Q22" s="166">
        <v>8.012394707408067E-3</v>
      </c>
    </row>
    <row r="23" spans="1:17" ht="14">
      <c r="A23" s="48" t="s">
        <v>102</v>
      </c>
      <c r="B23" s="77" t="s">
        <v>74</v>
      </c>
      <c r="C23" s="77" t="s">
        <v>14</v>
      </c>
      <c r="D23" s="78">
        <v>240</v>
      </c>
      <c r="E23" s="79">
        <v>40291</v>
      </c>
      <c r="F23" s="80">
        <v>10.48</v>
      </c>
      <c r="G23" s="173">
        <v>1172951869</v>
      </c>
      <c r="H23" s="174">
        <v>8.7200000000000006</v>
      </c>
      <c r="I23" s="173">
        <v>8.6999999999999993</v>
      </c>
      <c r="J23" s="39">
        <v>-2.54</v>
      </c>
      <c r="K23" s="157">
        <v>25.152000000000005</v>
      </c>
      <c r="L23" s="156">
        <v>2540.3520000000003</v>
      </c>
      <c r="M23" s="156">
        <v>2092.8000000000002</v>
      </c>
      <c r="N23" s="172">
        <v>-0.17617715970070291</v>
      </c>
      <c r="O23" s="158">
        <v>0</v>
      </c>
      <c r="P23" s="83" t="s">
        <v>217</v>
      </c>
      <c r="Q23" s="166">
        <v>1.330292712706355E-2</v>
      </c>
    </row>
    <row r="24" spans="1:17" ht="14" hidden="1">
      <c r="A24" s="48" t="s">
        <v>103</v>
      </c>
      <c r="B24" s="77" t="s">
        <v>75</v>
      </c>
      <c r="C24" s="77" t="s">
        <v>14</v>
      </c>
      <c r="D24" s="78">
        <v>250</v>
      </c>
      <c r="E24" s="79">
        <v>40291</v>
      </c>
      <c r="F24" s="80">
        <v>19.21</v>
      </c>
      <c r="G24" s="173">
        <v>34041939137</v>
      </c>
      <c r="H24" s="174">
        <v>17.25</v>
      </c>
      <c r="I24" s="173">
        <v>16.96</v>
      </c>
      <c r="J24" s="39">
        <v>1.41</v>
      </c>
      <c r="K24" s="157">
        <v>28</v>
      </c>
      <c r="L24" s="156">
        <v>4830.5</v>
      </c>
      <c r="M24" s="156">
        <v>4312.5</v>
      </c>
      <c r="N24" s="172">
        <v>-0.10723527585136114</v>
      </c>
      <c r="O24" s="158">
        <v>12.23404255319149</v>
      </c>
      <c r="P24" s="83" t="s">
        <v>216</v>
      </c>
      <c r="Q24" s="166">
        <v>2.7412496767709075E-2</v>
      </c>
    </row>
    <row r="25" spans="1:17" ht="14" hidden="1">
      <c r="A25" s="48" t="s">
        <v>167</v>
      </c>
      <c r="B25" s="77" t="s">
        <v>154</v>
      </c>
      <c r="C25" s="77" t="s">
        <v>10</v>
      </c>
      <c r="D25" s="78">
        <v>150</v>
      </c>
      <c r="E25" s="79">
        <v>40291</v>
      </c>
      <c r="F25" s="80">
        <v>30.96</v>
      </c>
      <c r="G25" s="173">
        <v>502598539492</v>
      </c>
      <c r="H25" s="174">
        <v>65.5</v>
      </c>
      <c r="I25" s="173">
        <v>65.040000000000006</v>
      </c>
      <c r="J25" s="39">
        <v>2.13</v>
      </c>
      <c r="K25" s="157">
        <v>28</v>
      </c>
      <c r="L25" s="156">
        <v>4672</v>
      </c>
      <c r="M25" s="156">
        <v>9825</v>
      </c>
      <c r="N25" s="172">
        <v>1.1029537671232876</v>
      </c>
      <c r="O25" s="158">
        <v>30.751173708920188</v>
      </c>
      <c r="P25" s="83" t="s">
        <v>216</v>
      </c>
      <c r="Q25" s="166">
        <v>6.2452818722954585E-2</v>
      </c>
    </row>
    <row r="26" spans="1:17" ht="14">
      <c r="A26" s="77" t="s">
        <v>104</v>
      </c>
      <c r="B26" s="77" t="s">
        <v>76</v>
      </c>
      <c r="C26" s="77" t="s">
        <v>8</v>
      </c>
      <c r="D26" s="78">
        <v>50</v>
      </c>
      <c r="E26" s="79">
        <v>40291</v>
      </c>
      <c r="F26" s="80">
        <v>22.61</v>
      </c>
      <c r="G26" s="173">
        <v>3412743063</v>
      </c>
      <c r="H26" s="174">
        <v>11.77</v>
      </c>
      <c r="I26" s="173">
        <v>11.96</v>
      </c>
      <c r="J26" s="39">
        <v>-3.64</v>
      </c>
      <c r="K26" s="157">
        <v>11.305</v>
      </c>
      <c r="L26" s="156">
        <v>1141.8050000000001</v>
      </c>
      <c r="M26" s="156">
        <v>588.5</v>
      </c>
      <c r="N26" s="172">
        <v>-0.48458799882641962</v>
      </c>
      <c r="O26" s="158">
        <v>0</v>
      </c>
      <c r="P26" s="83" t="s">
        <v>217</v>
      </c>
      <c r="Q26" s="166">
        <v>3.7408126023876615E-3</v>
      </c>
    </row>
    <row r="27" spans="1:17" ht="14" hidden="1">
      <c r="A27" s="77" t="s">
        <v>105</v>
      </c>
      <c r="B27" s="77" t="s">
        <v>77</v>
      </c>
      <c r="C27" s="77" t="s">
        <v>10</v>
      </c>
      <c r="D27" s="78">
        <v>200</v>
      </c>
      <c r="E27" s="79">
        <v>40291</v>
      </c>
      <c r="F27" s="80">
        <v>14.32</v>
      </c>
      <c r="G27" s="173">
        <v>4504830000</v>
      </c>
      <c r="H27" s="174">
        <v>35.89</v>
      </c>
      <c r="I27" s="173">
        <v>36.299999999999997</v>
      </c>
      <c r="J27" s="39">
        <v>1.49</v>
      </c>
      <c r="K27" s="157">
        <v>28</v>
      </c>
      <c r="L27" s="156">
        <v>2892</v>
      </c>
      <c r="M27" s="156">
        <v>7178</v>
      </c>
      <c r="N27" s="172">
        <v>1.4820193637621024</v>
      </c>
      <c r="O27" s="158">
        <v>24.087248322147651</v>
      </c>
      <c r="P27" s="83" t="s">
        <v>217</v>
      </c>
      <c r="Q27" s="166">
        <v>4.5627107663447131E-2</v>
      </c>
    </row>
    <row r="28" spans="1:17" ht="14" hidden="1">
      <c r="A28" s="77" t="s">
        <v>106</v>
      </c>
      <c r="B28" s="77" t="s">
        <v>155</v>
      </c>
      <c r="C28" s="77" t="s">
        <v>8</v>
      </c>
      <c r="D28" s="78">
        <v>100</v>
      </c>
      <c r="E28" s="79">
        <v>40291</v>
      </c>
      <c r="F28" s="80">
        <v>43.63</v>
      </c>
      <c r="G28" s="173">
        <v>1279686860</v>
      </c>
      <c r="H28" s="174">
        <v>5.31</v>
      </c>
      <c r="I28" s="173">
        <v>5.23</v>
      </c>
      <c r="J28" s="39">
        <v>-3.82</v>
      </c>
      <c r="K28" s="157">
        <v>28</v>
      </c>
      <c r="L28" s="156">
        <v>4391</v>
      </c>
      <c r="M28" s="156">
        <v>531</v>
      </c>
      <c r="N28" s="172">
        <v>-0.87907082669095882</v>
      </c>
      <c r="O28" s="158">
        <v>0</v>
      </c>
      <c r="P28" s="83" t="s">
        <v>217</v>
      </c>
      <c r="Q28" s="166">
        <v>3.375312645484874E-3</v>
      </c>
    </row>
    <row r="29" spans="1:17" ht="14">
      <c r="A29" s="77" t="s">
        <v>107</v>
      </c>
      <c r="B29" s="77" t="s">
        <v>78</v>
      </c>
      <c r="C29" s="77" t="s">
        <v>14</v>
      </c>
      <c r="D29" s="78">
        <v>10</v>
      </c>
      <c r="E29" s="79">
        <v>40291</v>
      </c>
      <c r="F29" s="80">
        <v>20.86</v>
      </c>
      <c r="G29" s="173">
        <v>22579661595</v>
      </c>
      <c r="H29" s="174">
        <v>39.409999999999997</v>
      </c>
      <c r="I29" s="173">
        <v>38.869999999999997</v>
      </c>
      <c r="J29" s="39">
        <v>1.76</v>
      </c>
      <c r="K29" s="157">
        <v>2.0859999999999999</v>
      </c>
      <c r="L29" s="156">
        <v>210.68600000000001</v>
      </c>
      <c r="M29" s="156">
        <v>394.09999999999997</v>
      </c>
      <c r="N29" s="172">
        <v>0.87055618313509175</v>
      </c>
      <c r="O29" s="158">
        <v>22.392045454545453</v>
      </c>
      <c r="P29" s="83" t="s">
        <v>216</v>
      </c>
      <c r="Q29" s="166">
        <v>2.5051049220067585E-3</v>
      </c>
    </row>
    <row r="30" spans="1:17" ht="14" hidden="1">
      <c r="A30" s="77" t="s">
        <v>108</v>
      </c>
      <c r="B30" s="77" t="s">
        <v>156</v>
      </c>
      <c r="C30" s="77" t="s">
        <v>13</v>
      </c>
      <c r="D30" s="78">
        <v>150</v>
      </c>
      <c r="E30" s="79">
        <v>40291</v>
      </c>
      <c r="F30" s="80">
        <v>48.01</v>
      </c>
      <c r="G30" s="173">
        <v>49645861156</v>
      </c>
      <c r="H30" s="174">
        <v>78.17</v>
      </c>
      <c r="I30" s="173">
        <v>76.900000000000006</v>
      </c>
      <c r="J30" s="39">
        <v>3.46</v>
      </c>
      <c r="K30" s="157">
        <v>28</v>
      </c>
      <c r="L30" s="156">
        <v>7229.5</v>
      </c>
      <c r="M30" s="156">
        <v>11725.5</v>
      </c>
      <c r="N30" s="172">
        <v>0.62189639670793273</v>
      </c>
      <c r="O30" s="158">
        <v>22.592485549132949</v>
      </c>
      <c r="P30" s="83" t="s">
        <v>216</v>
      </c>
      <c r="Q30" s="166">
        <v>7.4533386863715426E-2</v>
      </c>
    </row>
    <row r="31" spans="1:17" ht="14" hidden="1">
      <c r="A31" s="77" t="s">
        <v>109</v>
      </c>
      <c r="B31" s="77" t="s">
        <v>157</v>
      </c>
      <c r="C31" s="77" t="s">
        <v>13</v>
      </c>
      <c r="D31" s="78">
        <v>100</v>
      </c>
      <c r="E31" s="79">
        <v>40291</v>
      </c>
      <c r="F31" s="80">
        <v>56.53</v>
      </c>
      <c r="G31" s="173">
        <v>224654982481</v>
      </c>
      <c r="H31" s="174">
        <v>74.8</v>
      </c>
      <c r="I31" s="173">
        <v>74.069999999999993</v>
      </c>
      <c r="J31" s="39">
        <v>4.38</v>
      </c>
      <c r="K31" s="157">
        <v>28</v>
      </c>
      <c r="L31" s="156">
        <v>5681</v>
      </c>
      <c r="M31" s="156">
        <v>7480</v>
      </c>
      <c r="N31" s="172">
        <v>0.31666960042246084</v>
      </c>
      <c r="O31" s="158">
        <v>17.077625570776256</v>
      </c>
      <c r="P31" s="83" t="s">
        <v>216</v>
      </c>
      <c r="Q31" s="166">
        <v>4.7546777002310463E-2</v>
      </c>
    </row>
    <row r="32" spans="1:17" ht="14" hidden="1">
      <c r="A32" s="77" t="s">
        <v>110</v>
      </c>
      <c r="B32" s="77" t="s">
        <v>79</v>
      </c>
      <c r="C32" s="77" t="s">
        <v>15</v>
      </c>
      <c r="D32" s="78">
        <v>50</v>
      </c>
      <c r="E32" s="79">
        <v>40291</v>
      </c>
      <c r="F32" s="80">
        <v>59.24</v>
      </c>
      <c r="G32" s="173">
        <v>4953343427</v>
      </c>
      <c r="H32" s="174">
        <v>30.51</v>
      </c>
      <c r="I32" s="173">
        <v>28.42</v>
      </c>
      <c r="J32" s="39">
        <v>-2.81</v>
      </c>
      <c r="K32" s="157">
        <v>28</v>
      </c>
      <c r="L32" s="156">
        <v>2990</v>
      </c>
      <c r="M32" s="156">
        <v>1525.5</v>
      </c>
      <c r="N32" s="172">
        <v>-0.4897993311036789</v>
      </c>
      <c r="O32" s="158">
        <v>0</v>
      </c>
      <c r="P32" s="83" t="s">
        <v>217</v>
      </c>
      <c r="Q32" s="166">
        <v>9.6968727696556973E-3</v>
      </c>
    </row>
    <row r="33" spans="1:17" ht="14">
      <c r="A33" s="77" t="s">
        <v>50</v>
      </c>
      <c r="B33" s="77" t="s">
        <v>158</v>
      </c>
      <c r="C33" s="77" t="s">
        <v>11</v>
      </c>
      <c r="D33" s="78">
        <v>50</v>
      </c>
      <c r="E33" s="79">
        <v>40291</v>
      </c>
      <c r="F33" s="80">
        <v>13.11</v>
      </c>
      <c r="G33" s="173">
        <v>50166800</v>
      </c>
      <c r="H33" s="174">
        <v>2.74</v>
      </c>
      <c r="I33" s="173">
        <v>2.76</v>
      </c>
      <c r="J33" s="39">
        <v>-89.3</v>
      </c>
      <c r="K33" s="157">
        <v>6.5549999999999997</v>
      </c>
      <c r="L33" s="156">
        <v>662.05499999999995</v>
      </c>
      <c r="M33" s="156">
        <v>137</v>
      </c>
      <c r="N33" s="172">
        <v>-0.7930685517064292</v>
      </c>
      <c r="O33" s="158">
        <v>0</v>
      </c>
      <c r="P33" s="83" t="s">
        <v>217</v>
      </c>
      <c r="Q33" s="166">
        <v>8.7084337557707676E-4</v>
      </c>
    </row>
    <row r="34" spans="1:17" ht="14">
      <c r="A34" s="77" t="s">
        <v>124</v>
      </c>
      <c r="B34" s="77" t="s">
        <v>125</v>
      </c>
      <c r="C34" s="77" t="s">
        <v>10</v>
      </c>
      <c r="D34" s="78">
        <v>50</v>
      </c>
      <c r="E34" s="79">
        <v>40291</v>
      </c>
      <c r="F34" s="80">
        <v>17.64</v>
      </c>
      <c r="G34" s="173">
        <v>44954899199</v>
      </c>
      <c r="H34" s="174">
        <v>47.67</v>
      </c>
      <c r="I34" s="173">
        <v>47</v>
      </c>
      <c r="J34" s="39">
        <v>-0.23</v>
      </c>
      <c r="K34" s="157">
        <v>8.82</v>
      </c>
      <c r="L34" s="156">
        <v>890.82</v>
      </c>
      <c r="M34" s="156">
        <v>2383.5</v>
      </c>
      <c r="N34" s="172">
        <v>1.6756247053276754</v>
      </c>
      <c r="O34" s="158">
        <v>0</v>
      </c>
      <c r="P34" s="83" t="s">
        <v>216</v>
      </c>
      <c r="Q34" s="166">
        <v>1.515076777874425E-2</v>
      </c>
    </row>
    <row r="35" spans="1:17" ht="23">
      <c r="A35" s="11"/>
    </row>
    <row r="37" spans="1:17" ht="18" customHeight="1">
      <c r="A37" s="325" t="s">
        <v>446</v>
      </c>
      <c r="B37" s="325"/>
    </row>
    <row r="38" spans="1:17">
      <c r="A38" s="325"/>
      <c r="B38" s="325"/>
    </row>
  </sheetData>
  <autoFilter ref="A3:Q34" xr:uid="{220FEB27-57AE-844B-868B-B0D78EB7A7F5}">
    <filterColumn colId="10">
      <customFilters>
        <customFilter operator="lessThan" val="28"/>
      </customFilters>
    </filterColumn>
  </autoFilter>
  <mergeCells count="2">
    <mergeCell ref="A1:G1"/>
    <mergeCell ref="A37:B38"/>
  </mergeCells>
  <phoneticPr fontId="3" type="noConversion"/>
  <pageMargins left="0.75" right="0.75" top="1" bottom="1" header="0.5" footer="0.5"/>
  <pageSetup orientation="landscape" r:id="rId1"/>
  <headerFooter alignWithMargins="0">
    <oddHeader>&amp;CStephanie Agbenorhevi</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filterMode="1"/>
  <dimension ref="A1:W41"/>
  <sheetViews>
    <sheetView view="pageLayout" zoomScaleNormal="100" workbookViewId="0">
      <selection activeCell="A40" sqref="A40:C41"/>
    </sheetView>
  </sheetViews>
  <sheetFormatPr baseColWidth="10" defaultColWidth="8.83203125" defaultRowHeight="13"/>
  <cols>
    <col min="1" max="1" width="7.83203125" bestFit="1" customWidth="1"/>
    <col min="2" max="2" width="28.5" bestFit="1" customWidth="1"/>
    <col min="3" max="3" width="15.5" bestFit="1" customWidth="1"/>
    <col min="4" max="4" width="17.6640625" bestFit="1" customWidth="1"/>
    <col min="5" max="5" width="14.33203125" bestFit="1" customWidth="1"/>
    <col min="6" max="6" width="14.83203125" bestFit="1" customWidth="1"/>
    <col min="7" max="7" width="18.5" bestFit="1" customWidth="1"/>
    <col min="8" max="8" width="9.6640625" bestFit="1" customWidth="1"/>
    <col min="9" max="9" width="14.5" bestFit="1" customWidth="1"/>
    <col min="10" max="10" width="18.83203125" bestFit="1" customWidth="1"/>
    <col min="11" max="11" width="11.6640625" bestFit="1" customWidth="1"/>
    <col min="12" max="12" width="10" bestFit="1" customWidth="1"/>
    <col min="13" max="13" width="13.33203125" bestFit="1" customWidth="1"/>
    <col min="14" max="14" width="7" bestFit="1" customWidth="1"/>
    <col min="16" max="16" width="19.1640625" bestFit="1" customWidth="1"/>
    <col min="17" max="17" width="20" bestFit="1" customWidth="1"/>
  </cols>
  <sheetData>
    <row r="1" spans="1:23" ht="16">
      <c r="A1" s="50"/>
      <c r="B1" s="50"/>
      <c r="C1" s="50"/>
      <c r="D1" s="50"/>
      <c r="E1" s="50"/>
      <c r="F1" s="50"/>
      <c r="G1" s="50"/>
      <c r="H1" s="3"/>
    </row>
    <row r="2" spans="1:23" ht="20">
      <c r="A2" s="5" t="s">
        <v>191</v>
      </c>
    </row>
    <row r="5" spans="1:23">
      <c r="A5" s="1" t="s">
        <v>0</v>
      </c>
      <c r="B5" s="1" t="s">
        <v>1</v>
      </c>
      <c r="C5" s="1" t="s">
        <v>2</v>
      </c>
      <c r="D5" s="1" t="s">
        <v>3</v>
      </c>
      <c r="E5" s="1" t="s">
        <v>4</v>
      </c>
      <c r="F5" s="1" t="s">
        <v>5</v>
      </c>
      <c r="G5" s="1" t="s">
        <v>16</v>
      </c>
      <c r="H5" s="1" t="s">
        <v>17</v>
      </c>
      <c r="I5" s="1" t="s">
        <v>18</v>
      </c>
      <c r="J5" s="1" t="s">
        <v>19</v>
      </c>
      <c r="K5" s="1" t="s">
        <v>20</v>
      </c>
      <c r="L5" s="1" t="s">
        <v>21</v>
      </c>
      <c r="M5" s="1" t="s">
        <v>23</v>
      </c>
      <c r="N5" s="1" t="s">
        <v>24</v>
      </c>
      <c r="O5" s="1" t="s">
        <v>25</v>
      </c>
      <c r="P5" s="1" t="s">
        <v>26</v>
      </c>
      <c r="Q5" s="1" t="s">
        <v>22</v>
      </c>
    </row>
    <row r="6" spans="1:23">
      <c r="A6" s="45" t="s">
        <v>171</v>
      </c>
      <c r="B6" s="45" t="s">
        <v>174</v>
      </c>
      <c r="C6" s="45" t="s">
        <v>12</v>
      </c>
      <c r="D6" s="45">
        <v>100</v>
      </c>
      <c r="E6" s="120">
        <v>40291</v>
      </c>
      <c r="F6" s="119">
        <v>28.53</v>
      </c>
      <c r="G6" s="173">
        <v>75323415209</v>
      </c>
      <c r="H6" s="174">
        <v>43.98</v>
      </c>
      <c r="I6" s="173">
        <v>43.59</v>
      </c>
      <c r="J6" s="39">
        <v>0.94</v>
      </c>
      <c r="K6" s="157">
        <v>28</v>
      </c>
      <c r="L6" s="156">
        <v>2881</v>
      </c>
      <c r="M6" s="156">
        <v>4398</v>
      </c>
      <c r="N6" s="172">
        <v>0.5265532801110725</v>
      </c>
      <c r="O6" s="158">
        <v>46.787234042553187</v>
      </c>
      <c r="P6" s="83" t="s">
        <v>216</v>
      </c>
      <c r="Q6" s="166">
        <v>2.7955979312321046E-2</v>
      </c>
      <c r="R6" s="3"/>
      <c r="S6" s="3"/>
      <c r="T6" s="3"/>
      <c r="U6" s="3"/>
      <c r="V6" s="3"/>
      <c r="W6" s="3"/>
    </row>
    <row r="7" spans="1:23" ht="15.75" customHeight="1">
      <c r="A7" s="45" t="s">
        <v>171</v>
      </c>
      <c r="B7" s="45" t="s">
        <v>174</v>
      </c>
      <c r="C7" s="45" t="s">
        <v>12</v>
      </c>
      <c r="D7" s="45">
        <v>100</v>
      </c>
      <c r="E7" s="120">
        <v>40291</v>
      </c>
      <c r="F7" s="119">
        <v>28.53</v>
      </c>
      <c r="G7" s="173">
        <v>75323415209</v>
      </c>
      <c r="H7" s="174">
        <v>43.98</v>
      </c>
      <c r="I7" s="173">
        <v>43.59</v>
      </c>
      <c r="J7" s="39">
        <v>0.94</v>
      </c>
      <c r="K7" s="157">
        <v>28</v>
      </c>
      <c r="L7" s="156">
        <v>2881</v>
      </c>
      <c r="M7" s="156">
        <v>4398</v>
      </c>
      <c r="N7" s="172">
        <v>0.5265532801110725</v>
      </c>
      <c r="O7" s="158">
        <v>46.787234042553187</v>
      </c>
      <c r="P7" s="83" t="s">
        <v>216</v>
      </c>
      <c r="Q7" s="166">
        <v>2.7955979312321046E-2</v>
      </c>
      <c r="R7" s="3"/>
      <c r="S7" s="3"/>
      <c r="T7" s="3"/>
      <c r="U7" s="3"/>
      <c r="V7" s="3"/>
      <c r="W7" s="3"/>
    </row>
    <row r="8" spans="1:23" ht="28" hidden="1">
      <c r="A8" s="48" t="s">
        <v>168</v>
      </c>
      <c r="B8" s="77" t="s">
        <v>66</v>
      </c>
      <c r="C8" s="77" t="s">
        <v>6</v>
      </c>
      <c r="D8" s="78">
        <v>100</v>
      </c>
      <c r="E8" s="79">
        <v>40291</v>
      </c>
      <c r="F8" s="80">
        <v>67.88</v>
      </c>
      <c r="G8" s="173">
        <v>15857072051</v>
      </c>
      <c r="H8" s="174">
        <v>99.59</v>
      </c>
      <c r="I8" s="173">
        <v>98.04</v>
      </c>
      <c r="J8" s="39">
        <v>5.59</v>
      </c>
      <c r="K8" s="157">
        <v>28</v>
      </c>
      <c r="L8" s="156">
        <v>6816</v>
      </c>
      <c r="M8" s="156">
        <v>9959</v>
      </c>
      <c r="N8" s="172">
        <v>0.46112089201877932</v>
      </c>
      <c r="O8" s="158">
        <v>17.815742397137747</v>
      </c>
      <c r="P8" s="83" t="s">
        <v>216</v>
      </c>
      <c r="Q8" s="166">
        <v>6.3304592535562823E-2</v>
      </c>
      <c r="R8" s="3"/>
      <c r="S8" s="3"/>
      <c r="T8" s="3"/>
      <c r="U8" s="3"/>
      <c r="V8" s="3"/>
      <c r="W8" s="3"/>
    </row>
    <row r="9" spans="1:23" ht="14">
      <c r="A9" s="48" t="s">
        <v>91</v>
      </c>
      <c r="B9" s="77" t="s">
        <v>145</v>
      </c>
      <c r="C9" s="77" t="s">
        <v>7</v>
      </c>
      <c r="D9" s="78">
        <v>100</v>
      </c>
      <c r="E9" s="79">
        <v>40291</v>
      </c>
      <c r="F9" s="80">
        <v>34.46</v>
      </c>
      <c r="G9" s="173">
        <v>17434838571</v>
      </c>
      <c r="H9" s="174">
        <v>57.5</v>
      </c>
      <c r="I9" s="173">
        <v>57.28</v>
      </c>
      <c r="J9" s="39">
        <v>1.61</v>
      </c>
      <c r="K9" s="157">
        <v>28</v>
      </c>
      <c r="L9" s="156">
        <v>3474</v>
      </c>
      <c r="M9" s="156">
        <v>5750</v>
      </c>
      <c r="N9" s="172">
        <v>0.65515256188831317</v>
      </c>
      <c r="O9" s="158">
        <v>35.714285714285715</v>
      </c>
      <c r="P9" s="83" t="s">
        <v>216</v>
      </c>
      <c r="Q9" s="166">
        <v>3.6549995690278766E-2</v>
      </c>
      <c r="R9" s="3"/>
      <c r="S9" s="3"/>
      <c r="T9" s="3"/>
      <c r="U9" s="3"/>
      <c r="V9" s="3"/>
      <c r="W9" s="3"/>
    </row>
    <row r="10" spans="1:23" ht="14">
      <c r="A10" s="48" t="s">
        <v>44</v>
      </c>
      <c r="B10" s="77" t="s">
        <v>80</v>
      </c>
      <c r="C10" s="77" t="s">
        <v>7</v>
      </c>
      <c r="D10" s="78">
        <v>200</v>
      </c>
      <c r="E10" s="79">
        <v>40291</v>
      </c>
      <c r="F10" s="80">
        <v>23.15</v>
      </c>
      <c r="G10" s="173">
        <v>17224304201</v>
      </c>
      <c r="H10" s="174">
        <v>40.72</v>
      </c>
      <c r="I10" s="173">
        <v>40.479999999999997</v>
      </c>
      <c r="J10" s="39">
        <v>1.38</v>
      </c>
      <c r="K10" s="157">
        <v>28</v>
      </c>
      <c r="L10" s="156">
        <v>4658</v>
      </c>
      <c r="M10" s="156">
        <v>8144</v>
      </c>
      <c r="N10" s="172">
        <v>0.74838986689566334</v>
      </c>
      <c r="O10" s="158">
        <v>29.507246376811597</v>
      </c>
      <c r="P10" s="83" t="s">
        <v>216</v>
      </c>
      <c r="Q10" s="166">
        <v>5.1767506939413961E-2</v>
      </c>
      <c r="R10" s="3"/>
      <c r="S10" s="3"/>
      <c r="T10" s="3"/>
      <c r="U10" s="3"/>
      <c r="V10" s="3"/>
      <c r="W10" s="3"/>
    </row>
    <row r="11" spans="1:23" ht="14" hidden="1">
      <c r="A11" s="48" t="s">
        <v>92</v>
      </c>
      <c r="B11" s="77" t="s">
        <v>69</v>
      </c>
      <c r="C11" s="77" t="s">
        <v>8</v>
      </c>
      <c r="D11" s="78">
        <v>100</v>
      </c>
      <c r="E11" s="79">
        <v>40291</v>
      </c>
      <c r="F11" s="80">
        <v>69.41</v>
      </c>
      <c r="G11" s="173">
        <v>20590550000</v>
      </c>
      <c r="H11" s="174">
        <v>39.700000000000003</v>
      </c>
      <c r="I11" s="173">
        <v>39.25</v>
      </c>
      <c r="J11" s="39">
        <v>-6.52</v>
      </c>
      <c r="K11" s="157">
        <v>28</v>
      </c>
      <c r="L11" s="156">
        <v>6969</v>
      </c>
      <c r="M11" s="156">
        <v>3970.0000000000005</v>
      </c>
      <c r="N11" s="172">
        <v>-0.43033433778160418</v>
      </c>
      <c r="O11" s="158">
        <v>0</v>
      </c>
      <c r="P11" s="83" t="s">
        <v>216</v>
      </c>
      <c r="Q11" s="166">
        <v>2.5235388328766387E-2</v>
      </c>
      <c r="R11" s="3"/>
      <c r="S11" s="3"/>
      <c r="T11" s="3"/>
      <c r="U11" s="3"/>
      <c r="V11" s="3"/>
      <c r="W11" s="3"/>
    </row>
    <row r="12" spans="1:23" ht="14" hidden="1">
      <c r="A12" s="48" t="s">
        <v>93</v>
      </c>
      <c r="B12" s="77" t="s">
        <v>70</v>
      </c>
      <c r="C12" s="77" t="s">
        <v>7</v>
      </c>
      <c r="D12" s="78">
        <v>100</v>
      </c>
      <c r="E12" s="79">
        <v>40291</v>
      </c>
      <c r="F12" s="80">
        <v>70.63</v>
      </c>
      <c r="G12" s="173">
        <v>33323671651</v>
      </c>
      <c r="H12" s="174">
        <v>57.88</v>
      </c>
      <c r="I12" s="173">
        <v>57.84</v>
      </c>
      <c r="J12" s="39">
        <v>2.7</v>
      </c>
      <c r="K12" s="157">
        <v>28</v>
      </c>
      <c r="L12" s="156">
        <v>7091</v>
      </c>
      <c r="M12" s="156">
        <v>5788</v>
      </c>
      <c r="N12" s="172">
        <v>-0.18375405443519954</v>
      </c>
      <c r="O12" s="158">
        <v>21.437037037037037</v>
      </c>
      <c r="P12" s="83" t="s">
        <v>216</v>
      </c>
      <c r="Q12" s="166">
        <v>3.679154348788409E-2</v>
      </c>
      <c r="R12" s="3"/>
      <c r="S12" s="3"/>
      <c r="T12" s="3"/>
      <c r="U12" s="3"/>
      <c r="V12" s="3"/>
      <c r="W12" s="3"/>
    </row>
    <row r="13" spans="1:23" ht="14">
      <c r="A13" s="48" t="s">
        <v>173</v>
      </c>
      <c r="B13" s="77" t="s">
        <v>175</v>
      </c>
      <c r="C13" s="77" t="s">
        <v>12</v>
      </c>
      <c r="D13" s="78">
        <v>150</v>
      </c>
      <c r="E13" s="79">
        <v>40291</v>
      </c>
      <c r="F13" s="80">
        <v>20.14</v>
      </c>
      <c r="G13" s="173">
        <v>109621013986</v>
      </c>
      <c r="H13" s="174">
        <v>40.71</v>
      </c>
      <c r="I13" s="173">
        <v>40.840000000000003</v>
      </c>
      <c r="J13" s="39">
        <v>0.37</v>
      </c>
      <c r="K13" s="157">
        <v>28</v>
      </c>
      <c r="L13" s="156">
        <v>3049</v>
      </c>
      <c r="M13" s="156">
        <v>6106.5</v>
      </c>
      <c r="N13" s="172">
        <v>1.002787799278452</v>
      </c>
      <c r="O13" s="158">
        <v>110.02702702702703</v>
      </c>
      <c r="P13" s="83" t="s">
        <v>216</v>
      </c>
      <c r="Q13" s="166">
        <v>3.8816095423076048E-2</v>
      </c>
    </row>
    <row r="14" spans="1:23" ht="14" hidden="1">
      <c r="A14" s="43" t="s">
        <v>94</v>
      </c>
      <c r="B14" s="44" t="s">
        <v>146</v>
      </c>
      <c r="C14" s="77" t="s">
        <v>9</v>
      </c>
      <c r="D14" s="78">
        <v>30</v>
      </c>
      <c r="E14" s="79">
        <v>40291</v>
      </c>
      <c r="F14" s="80">
        <v>40.53</v>
      </c>
      <c r="G14" s="173">
        <v>11939394310</v>
      </c>
      <c r="H14" s="174">
        <v>96.01</v>
      </c>
      <c r="I14" s="173">
        <v>95.51</v>
      </c>
      <c r="J14" s="39">
        <v>4.34</v>
      </c>
      <c r="K14" s="157">
        <v>12.159000000000001</v>
      </c>
      <c r="L14" s="156">
        <v>1228.0590000000002</v>
      </c>
      <c r="M14" s="156">
        <v>2880.3</v>
      </c>
      <c r="N14" s="172">
        <v>1.3454084860743658</v>
      </c>
      <c r="O14" s="158">
        <v>22.122119815668206</v>
      </c>
      <c r="P14" s="83" t="s">
        <v>216</v>
      </c>
      <c r="Q14" s="166">
        <v>1.8308687406384336E-2</v>
      </c>
    </row>
    <row r="15" spans="1:23" ht="14" hidden="1">
      <c r="A15" s="48" t="s">
        <v>52</v>
      </c>
      <c r="B15" s="77" t="s">
        <v>147</v>
      </c>
      <c r="C15" s="45" t="s">
        <v>10</v>
      </c>
      <c r="D15" s="23">
        <v>100</v>
      </c>
      <c r="E15" s="46">
        <v>40291</v>
      </c>
      <c r="F15" s="47">
        <v>18.53</v>
      </c>
      <c r="G15" s="173">
        <v>31076572682</v>
      </c>
      <c r="H15" s="174">
        <v>18.52</v>
      </c>
      <c r="I15" s="173">
        <v>18.38</v>
      </c>
      <c r="J15" s="39">
        <v>1.46</v>
      </c>
      <c r="K15" s="157">
        <v>18.53</v>
      </c>
      <c r="L15" s="156">
        <v>1871.53</v>
      </c>
      <c r="M15" s="156">
        <v>1852</v>
      </c>
      <c r="N15" s="172">
        <v>-1.0435312284601355E-2</v>
      </c>
      <c r="O15" s="158">
        <v>12.684931506849315</v>
      </c>
      <c r="P15" s="83" t="s">
        <v>216</v>
      </c>
      <c r="Q15" s="166">
        <v>1.1772276872764571E-2</v>
      </c>
    </row>
    <row r="16" spans="1:23" ht="14" hidden="1">
      <c r="A16" s="48" t="s">
        <v>95</v>
      </c>
      <c r="B16" s="77" t="s">
        <v>148</v>
      </c>
      <c r="C16" s="77" t="s">
        <v>7</v>
      </c>
      <c r="D16" s="78">
        <v>100</v>
      </c>
      <c r="E16" s="79">
        <v>40291</v>
      </c>
      <c r="F16" s="80">
        <v>48.72</v>
      </c>
      <c r="G16" s="173">
        <v>23104464730</v>
      </c>
      <c r="H16" s="174">
        <v>108.8</v>
      </c>
      <c r="I16" s="173">
        <v>108.63</v>
      </c>
      <c r="J16" s="39">
        <v>3.34</v>
      </c>
      <c r="K16" s="157">
        <v>28</v>
      </c>
      <c r="L16" s="156">
        <v>4900</v>
      </c>
      <c r="M16" s="156">
        <v>10880</v>
      </c>
      <c r="N16" s="172">
        <v>1.2204081632653061</v>
      </c>
      <c r="O16" s="158">
        <v>32.574850299401199</v>
      </c>
      <c r="P16" s="83" t="s">
        <v>216</v>
      </c>
      <c r="Q16" s="166">
        <v>6.9158948366997042E-2</v>
      </c>
    </row>
    <row r="17" spans="1:17" ht="28" hidden="1">
      <c r="A17" s="48" t="s">
        <v>96</v>
      </c>
      <c r="B17" s="77" t="s">
        <v>71</v>
      </c>
      <c r="C17" s="77" t="s">
        <v>10</v>
      </c>
      <c r="D17" s="78">
        <v>50</v>
      </c>
      <c r="E17" s="79">
        <v>40291</v>
      </c>
      <c r="F17" s="80">
        <v>126.99</v>
      </c>
      <c r="G17" s="173">
        <v>152508037371</v>
      </c>
      <c r="H17" s="174">
        <v>162.30000000000001</v>
      </c>
      <c r="I17" s="173">
        <v>161.69</v>
      </c>
      <c r="J17" s="39">
        <v>12.38</v>
      </c>
      <c r="K17" s="157">
        <v>28</v>
      </c>
      <c r="L17" s="156">
        <v>6377.5</v>
      </c>
      <c r="M17" s="156">
        <v>8115.0000000000009</v>
      </c>
      <c r="N17" s="172">
        <v>0.27244217953743644</v>
      </c>
      <c r="O17" s="158">
        <v>13.109854604200324</v>
      </c>
      <c r="P17" s="83" t="s">
        <v>216</v>
      </c>
      <c r="Q17" s="166">
        <v>5.1583167830715169E-2</v>
      </c>
    </row>
    <row r="18" spans="1:17" ht="14" hidden="1">
      <c r="A18" s="48" t="s">
        <v>97</v>
      </c>
      <c r="B18" s="77" t="s">
        <v>149</v>
      </c>
      <c r="C18" s="77" t="s">
        <v>11</v>
      </c>
      <c r="D18" s="78">
        <v>100</v>
      </c>
      <c r="E18" s="79">
        <v>40291</v>
      </c>
      <c r="F18" s="80">
        <v>56.48</v>
      </c>
      <c r="G18" s="173">
        <v>3457914174</v>
      </c>
      <c r="H18" s="174">
        <v>39.96</v>
      </c>
      <c r="I18" s="173">
        <v>39</v>
      </c>
      <c r="J18" s="39">
        <v>2.0699999999999998</v>
      </c>
      <c r="K18" s="157">
        <v>28</v>
      </c>
      <c r="L18" s="156">
        <v>5676</v>
      </c>
      <c r="M18" s="156">
        <v>3996</v>
      </c>
      <c r="N18" s="172">
        <v>-0.29598308668076112</v>
      </c>
      <c r="O18" s="158">
        <v>19.304347826086957</v>
      </c>
      <c r="P18" s="83" t="s">
        <v>217</v>
      </c>
      <c r="Q18" s="166">
        <v>2.540065787449634E-2</v>
      </c>
    </row>
    <row r="19" spans="1:17" ht="14">
      <c r="A19" s="48" t="s">
        <v>98</v>
      </c>
      <c r="B19" s="77" t="s">
        <v>72</v>
      </c>
      <c r="C19" s="77" t="s">
        <v>11</v>
      </c>
      <c r="D19" s="78">
        <v>100</v>
      </c>
      <c r="E19" s="79">
        <v>40291</v>
      </c>
      <c r="F19" s="80">
        <v>34.229999999999997</v>
      </c>
      <c r="G19" s="173">
        <v>38749953547</v>
      </c>
      <c r="H19" s="174">
        <v>41.73</v>
      </c>
      <c r="I19" s="173">
        <v>41.28</v>
      </c>
      <c r="J19" s="39">
        <v>-1.64</v>
      </c>
      <c r="K19" s="157">
        <v>28</v>
      </c>
      <c r="L19" s="156">
        <v>3450.9999999999995</v>
      </c>
      <c r="M19" s="156">
        <v>4173</v>
      </c>
      <c r="N19" s="172">
        <v>0.20921472037090713</v>
      </c>
      <c r="O19" s="158">
        <v>0</v>
      </c>
      <c r="P19" s="83" t="s">
        <v>216</v>
      </c>
      <c r="Q19" s="166">
        <v>2.6525762089657963E-2</v>
      </c>
    </row>
    <row r="20" spans="1:17" ht="14" hidden="1">
      <c r="A20" s="48" t="s">
        <v>99</v>
      </c>
      <c r="B20" s="77" t="s">
        <v>73</v>
      </c>
      <c r="C20" s="77" t="s">
        <v>12</v>
      </c>
      <c r="D20" s="78">
        <v>88</v>
      </c>
      <c r="E20" s="79">
        <v>40291</v>
      </c>
      <c r="F20" s="80">
        <v>65.040000000000006</v>
      </c>
      <c r="G20" s="173">
        <v>329020961069</v>
      </c>
      <c r="H20" s="174">
        <v>121.87</v>
      </c>
      <c r="I20" s="173">
        <v>121.37</v>
      </c>
      <c r="J20" s="39">
        <v>5.93</v>
      </c>
      <c r="K20" s="157">
        <v>28</v>
      </c>
      <c r="L20" s="156">
        <v>5751.52</v>
      </c>
      <c r="M20" s="156">
        <v>10724.560000000001</v>
      </c>
      <c r="N20" s="172">
        <v>0.86464795393217797</v>
      </c>
      <c r="O20" s="158">
        <v>20.551433389544691</v>
      </c>
      <c r="P20" s="83" t="s">
        <v>216</v>
      </c>
      <c r="Q20" s="166">
        <v>6.8170890744371493E-2</v>
      </c>
    </row>
    <row r="21" spans="1:17" ht="14" hidden="1">
      <c r="A21" s="48" t="s">
        <v>100</v>
      </c>
      <c r="B21" s="77" t="s">
        <v>150</v>
      </c>
      <c r="C21" s="77" t="s">
        <v>13</v>
      </c>
      <c r="D21" s="78">
        <v>200</v>
      </c>
      <c r="E21" s="79">
        <v>40291</v>
      </c>
      <c r="F21" s="80">
        <v>49.48</v>
      </c>
      <c r="G21" s="173">
        <v>6752919598</v>
      </c>
      <c r="H21" s="174">
        <v>40.76</v>
      </c>
      <c r="I21" s="173">
        <v>39.18</v>
      </c>
      <c r="J21" s="39">
        <v>3.11</v>
      </c>
      <c r="K21" s="157">
        <v>28</v>
      </c>
      <c r="L21" s="156">
        <v>9924</v>
      </c>
      <c r="M21" s="156">
        <v>8152</v>
      </c>
      <c r="N21" s="172">
        <v>-0.17855703345425231</v>
      </c>
      <c r="O21" s="158">
        <v>13.106109324758842</v>
      </c>
      <c r="P21" s="83" t="s">
        <v>218</v>
      </c>
      <c r="Q21" s="166">
        <v>5.1818359107330868E-2</v>
      </c>
    </row>
    <row r="22" spans="1:17" ht="14">
      <c r="A22" s="48" t="s">
        <v>122</v>
      </c>
      <c r="B22" s="77" t="s">
        <v>151</v>
      </c>
      <c r="C22" s="77" t="s">
        <v>12</v>
      </c>
      <c r="D22" s="78">
        <v>50</v>
      </c>
      <c r="E22" s="79">
        <v>40291</v>
      </c>
      <c r="F22" s="80">
        <v>35.46</v>
      </c>
      <c r="G22" s="173">
        <v>89250333937</v>
      </c>
      <c r="H22" s="174">
        <v>81.94</v>
      </c>
      <c r="I22" s="173">
        <v>80.89</v>
      </c>
      <c r="J22" s="39">
        <v>2.58</v>
      </c>
      <c r="K22" s="157">
        <v>17.73</v>
      </c>
      <c r="L22" s="156">
        <v>1790.73</v>
      </c>
      <c r="M22" s="156">
        <v>4097</v>
      </c>
      <c r="N22" s="172">
        <v>1.2878937639956889</v>
      </c>
      <c r="O22" s="158">
        <v>31.759689922480618</v>
      </c>
      <c r="P22" s="83" t="s">
        <v>216</v>
      </c>
      <c r="Q22" s="166">
        <v>2.6042666494447322E-2</v>
      </c>
    </row>
    <row r="23" spans="1:17" ht="14">
      <c r="A23" s="48" t="s">
        <v>165</v>
      </c>
      <c r="B23" s="77" t="s">
        <v>152</v>
      </c>
      <c r="C23" s="77" t="s">
        <v>13</v>
      </c>
      <c r="D23" s="78">
        <v>150</v>
      </c>
      <c r="E23" s="79">
        <v>40291</v>
      </c>
      <c r="F23" s="80">
        <v>29.48</v>
      </c>
      <c r="G23" s="173">
        <v>8877882353</v>
      </c>
      <c r="H23" s="174">
        <v>30.01</v>
      </c>
      <c r="I23" s="173">
        <v>29.09</v>
      </c>
      <c r="J23" s="39">
        <v>1.99</v>
      </c>
      <c r="K23" s="157">
        <v>28</v>
      </c>
      <c r="L23" s="156">
        <v>4450</v>
      </c>
      <c r="M23" s="156">
        <v>4501.5</v>
      </c>
      <c r="N23" s="172">
        <v>1.1573033707865169E-2</v>
      </c>
      <c r="O23" s="158">
        <v>15.080402010050252</v>
      </c>
      <c r="P23" s="83" t="s">
        <v>218</v>
      </c>
      <c r="Q23" s="166">
        <v>2.8613879234746065E-2</v>
      </c>
    </row>
    <row r="24" spans="1:17" ht="14">
      <c r="A24" s="48" t="s">
        <v>101</v>
      </c>
      <c r="B24" s="77" t="s">
        <v>153</v>
      </c>
      <c r="C24" s="77" t="s">
        <v>9</v>
      </c>
      <c r="D24" s="78">
        <v>50</v>
      </c>
      <c r="E24" s="79">
        <v>40291</v>
      </c>
      <c r="F24" s="80">
        <v>23.54</v>
      </c>
      <c r="G24" s="173">
        <v>8600521944</v>
      </c>
      <c r="H24" s="174">
        <v>25.21</v>
      </c>
      <c r="I24" s="173">
        <v>25.11</v>
      </c>
      <c r="J24" s="39">
        <v>0.92</v>
      </c>
      <c r="K24" s="157">
        <v>11.77</v>
      </c>
      <c r="L24" s="156">
        <v>1188.77</v>
      </c>
      <c r="M24" s="156">
        <v>1260.5</v>
      </c>
      <c r="N24" s="172">
        <v>6.0339678827695871E-2</v>
      </c>
      <c r="O24" s="158">
        <v>27.402173913043477</v>
      </c>
      <c r="P24" s="83" t="s">
        <v>218</v>
      </c>
      <c r="Q24" s="166">
        <v>8.012394707408067E-3</v>
      </c>
    </row>
    <row r="25" spans="1:17" ht="14" hidden="1">
      <c r="A25" s="48" t="s">
        <v>102</v>
      </c>
      <c r="B25" s="77" t="s">
        <v>74</v>
      </c>
      <c r="C25" s="77" t="s">
        <v>14</v>
      </c>
      <c r="D25" s="78">
        <v>240</v>
      </c>
      <c r="E25" s="79">
        <v>40291</v>
      </c>
      <c r="F25" s="80">
        <v>10.48</v>
      </c>
      <c r="G25" s="173">
        <v>1172951869</v>
      </c>
      <c r="H25" s="174">
        <v>8.7200000000000006</v>
      </c>
      <c r="I25" s="173">
        <v>8.6999999999999993</v>
      </c>
      <c r="J25" s="39">
        <v>-2.54</v>
      </c>
      <c r="K25" s="157">
        <v>25.152000000000005</v>
      </c>
      <c r="L25" s="156">
        <v>2540.3520000000003</v>
      </c>
      <c r="M25" s="156">
        <v>2092.8000000000002</v>
      </c>
      <c r="N25" s="172">
        <v>-0.17617715970070291</v>
      </c>
      <c r="O25" s="158">
        <v>0</v>
      </c>
      <c r="P25" s="83" t="s">
        <v>217</v>
      </c>
      <c r="Q25" s="166">
        <v>1.330292712706355E-2</v>
      </c>
    </row>
    <row r="26" spans="1:17" ht="14" hidden="1">
      <c r="A26" s="48" t="s">
        <v>103</v>
      </c>
      <c r="B26" s="77" t="s">
        <v>75</v>
      </c>
      <c r="C26" s="77" t="s">
        <v>14</v>
      </c>
      <c r="D26" s="78">
        <v>250</v>
      </c>
      <c r="E26" s="79">
        <v>40291</v>
      </c>
      <c r="F26" s="80">
        <v>19.21</v>
      </c>
      <c r="G26" s="173">
        <v>34041939137</v>
      </c>
      <c r="H26" s="174">
        <v>17.25</v>
      </c>
      <c r="I26" s="173">
        <v>16.96</v>
      </c>
      <c r="J26" s="39">
        <v>1.41</v>
      </c>
      <c r="K26" s="157">
        <v>28</v>
      </c>
      <c r="L26" s="156">
        <v>4830.5</v>
      </c>
      <c r="M26" s="156">
        <v>4312.5</v>
      </c>
      <c r="N26" s="172">
        <v>-0.10723527585136114</v>
      </c>
      <c r="O26" s="158">
        <v>12.23404255319149</v>
      </c>
      <c r="P26" s="83" t="s">
        <v>216</v>
      </c>
      <c r="Q26" s="166">
        <v>2.7412496767709075E-2</v>
      </c>
    </row>
    <row r="27" spans="1:17" ht="14">
      <c r="A27" s="48" t="s">
        <v>167</v>
      </c>
      <c r="B27" s="77" t="s">
        <v>154</v>
      </c>
      <c r="C27" s="77" t="s">
        <v>10</v>
      </c>
      <c r="D27" s="78">
        <v>150</v>
      </c>
      <c r="E27" s="79">
        <v>40291</v>
      </c>
      <c r="F27" s="80">
        <v>30.96</v>
      </c>
      <c r="G27" s="173">
        <v>502598539492</v>
      </c>
      <c r="H27" s="174">
        <v>65.5</v>
      </c>
      <c r="I27" s="173">
        <v>65.040000000000006</v>
      </c>
      <c r="J27" s="39">
        <v>2.13</v>
      </c>
      <c r="K27" s="157">
        <v>28</v>
      </c>
      <c r="L27" s="156">
        <v>4672</v>
      </c>
      <c r="M27" s="156">
        <v>9825</v>
      </c>
      <c r="N27" s="172">
        <v>1.1029537671232876</v>
      </c>
      <c r="O27" s="158">
        <v>30.751173708920188</v>
      </c>
      <c r="P27" s="83" t="s">
        <v>216</v>
      </c>
      <c r="Q27" s="166">
        <v>6.2452818722954585E-2</v>
      </c>
    </row>
    <row r="28" spans="1:17" ht="14" hidden="1">
      <c r="A28" s="77" t="s">
        <v>104</v>
      </c>
      <c r="B28" s="77" t="s">
        <v>76</v>
      </c>
      <c r="C28" s="77" t="s">
        <v>8</v>
      </c>
      <c r="D28" s="78">
        <v>50</v>
      </c>
      <c r="E28" s="79">
        <v>40291</v>
      </c>
      <c r="F28" s="80">
        <v>22.61</v>
      </c>
      <c r="G28" s="173">
        <v>3412743063</v>
      </c>
      <c r="H28" s="174">
        <v>11.77</v>
      </c>
      <c r="I28" s="173">
        <v>11.96</v>
      </c>
      <c r="J28" s="39">
        <v>-3.64</v>
      </c>
      <c r="K28" s="157">
        <v>11.305</v>
      </c>
      <c r="L28" s="156">
        <v>1141.8050000000001</v>
      </c>
      <c r="M28" s="156">
        <v>588.5</v>
      </c>
      <c r="N28" s="172">
        <v>-0.48458799882641962</v>
      </c>
      <c r="O28" s="158">
        <v>0</v>
      </c>
      <c r="P28" s="83" t="s">
        <v>217</v>
      </c>
      <c r="Q28" s="166">
        <v>3.7408126023876615E-3</v>
      </c>
    </row>
    <row r="29" spans="1:17" ht="14">
      <c r="A29" s="77" t="s">
        <v>105</v>
      </c>
      <c r="B29" s="77" t="s">
        <v>77</v>
      </c>
      <c r="C29" s="77" t="s">
        <v>10</v>
      </c>
      <c r="D29" s="78">
        <v>200</v>
      </c>
      <c r="E29" s="79">
        <v>40291</v>
      </c>
      <c r="F29" s="80">
        <v>14.32</v>
      </c>
      <c r="G29" s="173">
        <v>4504830000</v>
      </c>
      <c r="H29" s="174">
        <v>35.89</v>
      </c>
      <c r="I29" s="173">
        <v>36.299999999999997</v>
      </c>
      <c r="J29" s="39">
        <v>1.49</v>
      </c>
      <c r="K29" s="157">
        <v>28</v>
      </c>
      <c r="L29" s="156">
        <v>2892</v>
      </c>
      <c r="M29" s="156">
        <v>7178</v>
      </c>
      <c r="N29" s="172">
        <v>1.4820193637621024</v>
      </c>
      <c r="O29" s="158">
        <v>24.087248322147651</v>
      </c>
      <c r="P29" s="83" t="s">
        <v>217</v>
      </c>
      <c r="Q29" s="166">
        <v>4.5627107663447131E-2</v>
      </c>
    </row>
    <row r="30" spans="1:17" ht="14" hidden="1">
      <c r="A30" s="77" t="s">
        <v>106</v>
      </c>
      <c r="B30" s="77" t="s">
        <v>155</v>
      </c>
      <c r="C30" s="77" t="s">
        <v>8</v>
      </c>
      <c r="D30" s="78">
        <v>100</v>
      </c>
      <c r="E30" s="79">
        <v>40291</v>
      </c>
      <c r="F30" s="80">
        <v>43.63</v>
      </c>
      <c r="G30" s="173">
        <v>1279686860</v>
      </c>
      <c r="H30" s="174">
        <v>5.31</v>
      </c>
      <c r="I30" s="173">
        <v>5.23</v>
      </c>
      <c r="J30" s="39">
        <v>-3.82</v>
      </c>
      <c r="K30" s="157">
        <v>28</v>
      </c>
      <c r="L30" s="156">
        <v>4391</v>
      </c>
      <c r="M30" s="156">
        <v>531</v>
      </c>
      <c r="N30" s="172">
        <v>-0.87907082669095882</v>
      </c>
      <c r="O30" s="158">
        <v>0</v>
      </c>
      <c r="P30" s="83" t="s">
        <v>217</v>
      </c>
      <c r="Q30" s="166">
        <v>3.375312645484874E-3</v>
      </c>
    </row>
    <row r="31" spans="1:17" ht="14">
      <c r="A31" s="77" t="s">
        <v>107</v>
      </c>
      <c r="B31" s="77" t="s">
        <v>78</v>
      </c>
      <c r="C31" s="77" t="s">
        <v>14</v>
      </c>
      <c r="D31" s="78">
        <v>10</v>
      </c>
      <c r="E31" s="79">
        <v>40291</v>
      </c>
      <c r="F31" s="80">
        <v>20.86</v>
      </c>
      <c r="G31" s="173">
        <v>22579661595</v>
      </c>
      <c r="H31" s="174">
        <v>39.409999999999997</v>
      </c>
      <c r="I31" s="173">
        <v>38.869999999999997</v>
      </c>
      <c r="J31" s="39">
        <v>1.76</v>
      </c>
      <c r="K31" s="157">
        <v>2.0859999999999999</v>
      </c>
      <c r="L31" s="156">
        <v>210.68600000000001</v>
      </c>
      <c r="M31" s="156">
        <v>394.09999999999997</v>
      </c>
      <c r="N31" s="172">
        <v>0.87055618313509175</v>
      </c>
      <c r="O31" s="158">
        <v>22.392045454545453</v>
      </c>
      <c r="P31" s="83" t="s">
        <v>216</v>
      </c>
      <c r="Q31" s="166">
        <v>2.5051049220067585E-3</v>
      </c>
    </row>
    <row r="32" spans="1:17" ht="14" hidden="1">
      <c r="A32" s="77" t="s">
        <v>108</v>
      </c>
      <c r="B32" s="77" t="s">
        <v>156</v>
      </c>
      <c r="C32" s="77" t="s">
        <v>13</v>
      </c>
      <c r="D32" s="78">
        <v>150</v>
      </c>
      <c r="E32" s="79">
        <v>40291</v>
      </c>
      <c r="F32" s="80">
        <v>48.01</v>
      </c>
      <c r="G32" s="173">
        <v>49645861156</v>
      </c>
      <c r="H32" s="174">
        <v>78.17</v>
      </c>
      <c r="I32" s="173">
        <v>76.900000000000006</v>
      </c>
      <c r="J32" s="39">
        <v>3.46</v>
      </c>
      <c r="K32" s="157">
        <v>28</v>
      </c>
      <c r="L32" s="156">
        <v>7229.5</v>
      </c>
      <c r="M32" s="156">
        <v>11725.5</v>
      </c>
      <c r="N32" s="172">
        <v>0.62189639670793273</v>
      </c>
      <c r="O32" s="158">
        <v>22.592485549132949</v>
      </c>
      <c r="P32" s="83" t="s">
        <v>216</v>
      </c>
      <c r="Q32" s="166">
        <v>7.4533386863715426E-2</v>
      </c>
    </row>
    <row r="33" spans="1:17" ht="14" hidden="1">
      <c r="A33" s="77" t="s">
        <v>109</v>
      </c>
      <c r="B33" s="77" t="s">
        <v>157</v>
      </c>
      <c r="C33" s="77" t="s">
        <v>13</v>
      </c>
      <c r="D33" s="78">
        <v>100</v>
      </c>
      <c r="E33" s="79">
        <v>40291</v>
      </c>
      <c r="F33" s="80">
        <v>56.53</v>
      </c>
      <c r="G33" s="173">
        <v>224654982481</v>
      </c>
      <c r="H33" s="174">
        <v>74.8</v>
      </c>
      <c r="I33" s="173">
        <v>74.069999999999993</v>
      </c>
      <c r="J33" s="39">
        <v>4.38</v>
      </c>
      <c r="K33" s="157">
        <v>28</v>
      </c>
      <c r="L33" s="156">
        <v>5681</v>
      </c>
      <c r="M33" s="156">
        <v>7480</v>
      </c>
      <c r="N33" s="172">
        <v>0.31666960042246084</v>
      </c>
      <c r="O33" s="158">
        <v>17.077625570776256</v>
      </c>
      <c r="P33" s="83" t="s">
        <v>216</v>
      </c>
      <c r="Q33" s="166">
        <v>4.7546777002310463E-2</v>
      </c>
    </row>
    <row r="34" spans="1:17" ht="14" hidden="1">
      <c r="A34" s="77" t="s">
        <v>110</v>
      </c>
      <c r="B34" s="77" t="s">
        <v>79</v>
      </c>
      <c r="C34" s="77" t="s">
        <v>15</v>
      </c>
      <c r="D34" s="78">
        <v>50</v>
      </c>
      <c r="E34" s="79">
        <v>40291</v>
      </c>
      <c r="F34" s="80">
        <v>59.24</v>
      </c>
      <c r="G34" s="173">
        <v>4953343427</v>
      </c>
      <c r="H34" s="174">
        <v>30.51</v>
      </c>
      <c r="I34" s="173">
        <v>28.42</v>
      </c>
      <c r="J34" s="39">
        <v>-2.81</v>
      </c>
      <c r="K34" s="157">
        <v>28</v>
      </c>
      <c r="L34" s="156">
        <v>2990</v>
      </c>
      <c r="M34" s="156">
        <v>1525.5</v>
      </c>
      <c r="N34" s="172">
        <v>-0.4897993311036789</v>
      </c>
      <c r="O34" s="158">
        <v>0</v>
      </c>
      <c r="P34" s="83" t="s">
        <v>217</v>
      </c>
      <c r="Q34" s="166">
        <v>9.6968727696556973E-3</v>
      </c>
    </row>
    <row r="35" spans="1:17" ht="28" hidden="1">
      <c r="A35" s="77" t="s">
        <v>50</v>
      </c>
      <c r="B35" s="77" t="s">
        <v>158</v>
      </c>
      <c r="C35" s="77" t="s">
        <v>11</v>
      </c>
      <c r="D35" s="78">
        <v>50</v>
      </c>
      <c r="E35" s="79">
        <v>40291</v>
      </c>
      <c r="F35" s="80">
        <v>13.11</v>
      </c>
      <c r="G35" s="173">
        <v>50166800</v>
      </c>
      <c r="H35" s="174">
        <v>2.74</v>
      </c>
      <c r="I35" s="173">
        <v>2.76</v>
      </c>
      <c r="J35" s="39">
        <v>-89.3</v>
      </c>
      <c r="K35" s="157">
        <v>6.5549999999999997</v>
      </c>
      <c r="L35" s="156">
        <v>662.05499999999995</v>
      </c>
      <c r="M35" s="156">
        <v>137</v>
      </c>
      <c r="N35" s="172">
        <v>-0.7930685517064292</v>
      </c>
      <c r="O35" s="158">
        <v>0</v>
      </c>
      <c r="P35" s="83" t="s">
        <v>217</v>
      </c>
      <c r="Q35" s="166">
        <v>8.7084337557707676E-4</v>
      </c>
    </row>
    <row r="36" spans="1:17" ht="14">
      <c r="A36" s="77" t="s">
        <v>124</v>
      </c>
      <c r="B36" s="77" t="s">
        <v>125</v>
      </c>
      <c r="C36" s="77" t="s">
        <v>10</v>
      </c>
      <c r="D36" s="78">
        <v>50</v>
      </c>
      <c r="E36" s="79">
        <v>40291</v>
      </c>
      <c r="F36" s="80">
        <v>17.64</v>
      </c>
      <c r="G36" s="173">
        <v>44954899199</v>
      </c>
      <c r="H36" s="174">
        <v>47.67</v>
      </c>
      <c r="I36" s="173">
        <v>47</v>
      </c>
      <c r="J36" s="39">
        <v>-0.23</v>
      </c>
      <c r="K36" s="157">
        <v>8.82</v>
      </c>
      <c r="L36" s="156">
        <v>890.82</v>
      </c>
      <c r="M36" s="156">
        <v>2383.5</v>
      </c>
      <c r="N36" s="172">
        <v>1.6756247053276754</v>
      </c>
      <c r="O36" s="158">
        <v>0</v>
      </c>
      <c r="P36" s="83" t="s">
        <v>216</v>
      </c>
      <c r="Q36" s="166">
        <v>1.515076777874425E-2</v>
      </c>
    </row>
    <row r="40" spans="1:17">
      <c r="A40" s="325" t="s">
        <v>445</v>
      </c>
      <c r="B40" s="325"/>
      <c r="C40" s="325"/>
    </row>
    <row r="41" spans="1:17">
      <c r="A41" s="325"/>
      <c r="B41" s="325"/>
      <c r="C41" s="325"/>
    </row>
  </sheetData>
  <autoFilter ref="A5:Q36" xr:uid="{D4BF69D3-27A4-EB4C-A358-886F67FA40C1}">
    <filterColumn colId="5">
      <customFilters>
        <customFilter operator="lessThan" val="40"/>
      </customFilters>
    </filterColumn>
    <filterColumn colId="13">
      <customFilters>
        <customFilter operator="greaterThan" val="0"/>
      </customFilters>
    </filterColumn>
  </autoFilter>
  <mergeCells count="1">
    <mergeCell ref="A40:C41"/>
  </mergeCells>
  <phoneticPr fontId="3" type="noConversion"/>
  <pageMargins left="0.75" right="0.75" top="1" bottom="1" header="0.5" footer="0.5"/>
  <pageSetup orientation="landscape" r:id="rId1"/>
  <headerFooter alignWithMargins="0">
    <oddHeader>&amp;CStephanie Agbenorhevi</oddHead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filterMode="1"/>
  <dimension ref="A1:Q39"/>
  <sheetViews>
    <sheetView view="pageLayout" zoomScaleNormal="100" workbookViewId="0">
      <selection activeCell="A38" sqref="A38:D39"/>
    </sheetView>
  </sheetViews>
  <sheetFormatPr baseColWidth="10" defaultColWidth="8.83203125" defaultRowHeight="13"/>
  <cols>
    <col min="2" max="2" width="9.33203125" bestFit="1" customWidth="1"/>
    <col min="3" max="3" width="8.33203125" bestFit="1" customWidth="1"/>
    <col min="4" max="4" width="17.33203125" bestFit="1" customWidth="1"/>
    <col min="5" max="5" width="13.83203125" bestFit="1" customWidth="1"/>
    <col min="6" max="6" width="14.6640625" customWidth="1"/>
    <col min="7" max="7" width="18" customWidth="1"/>
    <col min="8" max="8" width="9.6640625" bestFit="1" customWidth="1"/>
    <col min="9" max="9" width="14.33203125" bestFit="1" customWidth="1"/>
    <col min="10" max="10" width="18.33203125" bestFit="1" customWidth="1"/>
    <col min="11" max="11" width="11.6640625" bestFit="1" customWidth="1"/>
    <col min="12" max="12" width="10" bestFit="1" customWidth="1"/>
    <col min="13" max="13" width="13.33203125" bestFit="1" customWidth="1"/>
    <col min="14" max="14" width="7" bestFit="1" customWidth="1"/>
    <col min="16" max="17" width="19.1640625" bestFit="1" customWidth="1"/>
  </cols>
  <sheetData>
    <row r="1" spans="1:17" ht="16">
      <c r="A1" s="292"/>
      <c r="B1" s="292"/>
      <c r="C1" s="292"/>
      <c r="D1" s="292"/>
      <c r="E1" s="292"/>
      <c r="F1" s="292"/>
      <c r="G1" s="292"/>
      <c r="H1" s="292"/>
      <c r="I1" s="292"/>
      <c r="J1" s="292"/>
    </row>
    <row r="2" spans="1:17" ht="20">
      <c r="A2" s="5" t="s">
        <v>192</v>
      </c>
    </row>
    <row r="4" spans="1:17">
      <c r="A4" s="1" t="s">
        <v>0</v>
      </c>
      <c r="B4" s="1" t="s">
        <v>1</v>
      </c>
      <c r="C4" s="1" t="s">
        <v>2</v>
      </c>
      <c r="D4" s="1" t="s">
        <v>3</v>
      </c>
      <c r="E4" s="1" t="s">
        <v>4</v>
      </c>
      <c r="F4" s="1" t="s">
        <v>5</v>
      </c>
      <c r="G4" s="1" t="s">
        <v>16</v>
      </c>
      <c r="H4" s="1" t="s">
        <v>17</v>
      </c>
      <c r="I4" s="1" t="s">
        <v>18</v>
      </c>
      <c r="J4" s="1" t="s">
        <v>19</v>
      </c>
      <c r="K4" s="1" t="s">
        <v>20</v>
      </c>
      <c r="L4" s="1" t="s">
        <v>21</v>
      </c>
      <c r="M4" s="1" t="s">
        <v>23</v>
      </c>
      <c r="N4" s="1" t="s">
        <v>24</v>
      </c>
      <c r="O4" s="1" t="s">
        <v>25</v>
      </c>
      <c r="P4" s="1" t="s">
        <v>26</v>
      </c>
      <c r="Q4" s="1" t="s">
        <v>22</v>
      </c>
    </row>
    <row r="5" spans="1:17" hidden="1">
      <c r="A5" s="45" t="s">
        <v>171</v>
      </c>
      <c r="B5" s="45" t="s">
        <v>174</v>
      </c>
      <c r="C5" s="45" t="s">
        <v>12</v>
      </c>
      <c r="D5" s="45">
        <v>100</v>
      </c>
      <c r="E5" s="120">
        <v>40291</v>
      </c>
      <c r="F5" s="119">
        <v>28.53</v>
      </c>
      <c r="G5" s="173">
        <v>75323415209</v>
      </c>
      <c r="H5" s="174">
        <v>43.98</v>
      </c>
      <c r="I5" s="173">
        <v>43.59</v>
      </c>
      <c r="J5" s="39">
        <v>0.94</v>
      </c>
      <c r="K5" s="157">
        <v>28</v>
      </c>
      <c r="L5" s="156">
        <v>2881</v>
      </c>
      <c r="M5" s="156">
        <v>4398</v>
      </c>
      <c r="N5" s="172">
        <v>0.5265532801110725</v>
      </c>
      <c r="O5" s="158">
        <v>46.787234042553187</v>
      </c>
      <c r="P5" s="83" t="s">
        <v>216</v>
      </c>
      <c r="Q5" s="166">
        <v>2.7955979312321046E-2</v>
      </c>
    </row>
    <row r="6" spans="1:17" hidden="1">
      <c r="A6" s="45" t="s">
        <v>171</v>
      </c>
      <c r="B6" s="45" t="s">
        <v>174</v>
      </c>
      <c r="C6" s="45" t="s">
        <v>12</v>
      </c>
      <c r="D6" s="45">
        <v>100</v>
      </c>
      <c r="E6" s="120">
        <v>40291</v>
      </c>
      <c r="F6" s="119">
        <v>28.53</v>
      </c>
      <c r="G6" s="173">
        <v>75323415209</v>
      </c>
      <c r="H6" s="174">
        <v>43.98</v>
      </c>
      <c r="I6" s="173">
        <v>43.59</v>
      </c>
      <c r="J6" s="39">
        <v>0.94</v>
      </c>
      <c r="K6" s="157">
        <v>28</v>
      </c>
      <c r="L6" s="156">
        <v>2881</v>
      </c>
      <c r="M6" s="156">
        <v>4398</v>
      </c>
      <c r="N6" s="172">
        <v>0.5265532801110725</v>
      </c>
      <c r="O6" s="158">
        <v>46.787234042553187</v>
      </c>
      <c r="P6" s="83" t="s">
        <v>216</v>
      </c>
      <c r="Q6" s="166">
        <v>2.7955979312321046E-2</v>
      </c>
    </row>
    <row r="7" spans="1:17" ht="42" hidden="1">
      <c r="A7" s="48" t="s">
        <v>168</v>
      </c>
      <c r="B7" s="77" t="s">
        <v>66</v>
      </c>
      <c r="C7" s="77" t="s">
        <v>6</v>
      </c>
      <c r="D7" s="78">
        <v>100</v>
      </c>
      <c r="E7" s="79">
        <v>40291</v>
      </c>
      <c r="F7" s="80">
        <v>67.88</v>
      </c>
      <c r="G7" s="173">
        <v>15857072051</v>
      </c>
      <c r="H7" s="174">
        <v>99.59</v>
      </c>
      <c r="I7" s="173">
        <v>98.04</v>
      </c>
      <c r="J7" s="39">
        <v>5.59</v>
      </c>
      <c r="K7" s="157">
        <v>28</v>
      </c>
      <c r="L7" s="156">
        <v>6816</v>
      </c>
      <c r="M7" s="156">
        <v>9959</v>
      </c>
      <c r="N7" s="172">
        <v>0.46112089201877932</v>
      </c>
      <c r="O7" s="158">
        <v>17.815742397137747</v>
      </c>
      <c r="P7" s="83" t="s">
        <v>216</v>
      </c>
      <c r="Q7" s="166">
        <v>6.3304592535562823E-2</v>
      </c>
    </row>
    <row r="8" spans="1:17" ht="28" hidden="1">
      <c r="A8" s="48" t="s">
        <v>91</v>
      </c>
      <c r="B8" s="77" t="s">
        <v>145</v>
      </c>
      <c r="C8" s="77" t="s">
        <v>7</v>
      </c>
      <c r="D8" s="78">
        <v>100</v>
      </c>
      <c r="E8" s="79">
        <v>40291</v>
      </c>
      <c r="F8" s="80">
        <v>34.46</v>
      </c>
      <c r="G8" s="173">
        <v>17434838571</v>
      </c>
      <c r="H8" s="174">
        <v>57.5</v>
      </c>
      <c r="I8" s="173">
        <v>57.28</v>
      </c>
      <c r="J8" s="39">
        <v>1.61</v>
      </c>
      <c r="K8" s="157">
        <v>28</v>
      </c>
      <c r="L8" s="156">
        <v>3474</v>
      </c>
      <c r="M8" s="156">
        <v>5750</v>
      </c>
      <c r="N8" s="172">
        <v>0.65515256188831317</v>
      </c>
      <c r="O8" s="158">
        <v>35.714285714285715</v>
      </c>
      <c r="P8" s="83" t="s">
        <v>216</v>
      </c>
      <c r="Q8" s="166">
        <v>3.6549995690278766E-2</v>
      </c>
    </row>
    <row r="9" spans="1:17" ht="28" hidden="1">
      <c r="A9" s="48" t="s">
        <v>44</v>
      </c>
      <c r="B9" s="77" t="s">
        <v>80</v>
      </c>
      <c r="C9" s="77" t="s">
        <v>7</v>
      </c>
      <c r="D9" s="78">
        <v>200</v>
      </c>
      <c r="E9" s="79">
        <v>40291</v>
      </c>
      <c r="F9" s="80">
        <v>23.15</v>
      </c>
      <c r="G9" s="173">
        <v>17224304201</v>
      </c>
      <c r="H9" s="174">
        <v>40.72</v>
      </c>
      <c r="I9" s="173">
        <v>40.479999999999997</v>
      </c>
      <c r="J9" s="39">
        <v>1.38</v>
      </c>
      <c r="K9" s="157">
        <v>28</v>
      </c>
      <c r="L9" s="156">
        <v>4658</v>
      </c>
      <c r="M9" s="156">
        <v>8144</v>
      </c>
      <c r="N9" s="172">
        <v>0.74838986689566334</v>
      </c>
      <c r="O9" s="158">
        <v>29.507246376811597</v>
      </c>
      <c r="P9" s="83" t="s">
        <v>216</v>
      </c>
      <c r="Q9" s="166">
        <v>5.1767506939413961E-2</v>
      </c>
    </row>
    <row r="10" spans="1:17" ht="42" hidden="1">
      <c r="A10" s="48" t="s">
        <v>92</v>
      </c>
      <c r="B10" s="77" t="s">
        <v>69</v>
      </c>
      <c r="C10" s="77" t="s">
        <v>8</v>
      </c>
      <c r="D10" s="78">
        <v>100</v>
      </c>
      <c r="E10" s="79">
        <v>40291</v>
      </c>
      <c r="F10" s="80">
        <v>69.41</v>
      </c>
      <c r="G10" s="173">
        <v>20590550000</v>
      </c>
      <c r="H10" s="174">
        <v>39.700000000000003</v>
      </c>
      <c r="I10" s="173">
        <v>39.25</v>
      </c>
      <c r="J10" s="39">
        <v>-6.52</v>
      </c>
      <c r="K10" s="157">
        <v>28</v>
      </c>
      <c r="L10" s="156">
        <v>6969</v>
      </c>
      <c r="M10" s="156">
        <v>3970.0000000000005</v>
      </c>
      <c r="N10" s="172">
        <v>-0.43033433778160418</v>
      </c>
      <c r="O10" s="158">
        <v>0</v>
      </c>
      <c r="P10" s="83" t="s">
        <v>216</v>
      </c>
      <c r="Q10" s="166">
        <v>2.5235388328766387E-2</v>
      </c>
    </row>
    <row r="11" spans="1:17" ht="28" hidden="1">
      <c r="A11" s="48" t="s">
        <v>93</v>
      </c>
      <c r="B11" s="77" t="s">
        <v>70</v>
      </c>
      <c r="C11" s="77" t="s">
        <v>7</v>
      </c>
      <c r="D11" s="78">
        <v>100</v>
      </c>
      <c r="E11" s="79">
        <v>40291</v>
      </c>
      <c r="F11" s="80">
        <v>70.63</v>
      </c>
      <c r="G11" s="173">
        <v>33323671651</v>
      </c>
      <c r="H11" s="174">
        <v>57.88</v>
      </c>
      <c r="I11" s="173">
        <v>57.84</v>
      </c>
      <c r="J11" s="39">
        <v>2.7</v>
      </c>
      <c r="K11" s="157">
        <v>28</v>
      </c>
      <c r="L11" s="156">
        <v>7091</v>
      </c>
      <c r="M11" s="156">
        <v>5788</v>
      </c>
      <c r="N11" s="172">
        <v>-0.18375405443519954</v>
      </c>
      <c r="O11" s="158">
        <v>21.437037037037037</v>
      </c>
      <c r="P11" s="83" t="s">
        <v>216</v>
      </c>
      <c r="Q11" s="166">
        <v>3.679154348788409E-2</v>
      </c>
    </row>
    <row r="12" spans="1:17" ht="28" hidden="1">
      <c r="A12" s="48" t="s">
        <v>173</v>
      </c>
      <c r="B12" s="77" t="s">
        <v>175</v>
      </c>
      <c r="C12" s="77" t="s">
        <v>12</v>
      </c>
      <c r="D12" s="78">
        <v>150</v>
      </c>
      <c r="E12" s="79">
        <v>40291</v>
      </c>
      <c r="F12" s="80">
        <v>20.14</v>
      </c>
      <c r="G12" s="173">
        <v>109621013986</v>
      </c>
      <c r="H12" s="174">
        <v>40.71</v>
      </c>
      <c r="I12" s="173">
        <v>40.840000000000003</v>
      </c>
      <c r="J12" s="39">
        <v>0.37</v>
      </c>
      <c r="K12" s="157">
        <v>28</v>
      </c>
      <c r="L12" s="156">
        <v>3049</v>
      </c>
      <c r="M12" s="156">
        <v>6106.5</v>
      </c>
      <c r="N12" s="172">
        <v>1.002787799278452</v>
      </c>
      <c r="O12" s="158">
        <v>110.02702702702703</v>
      </c>
      <c r="P12" s="83" t="s">
        <v>216</v>
      </c>
      <c r="Q12" s="166">
        <v>3.8816095423076048E-2</v>
      </c>
    </row>
    <row r="13" spans="1:17" ht="28" hidden="1">
      <c r="A13" s="43" t="s">
        <v>94</v>
      </c>
      <c r="B13" s="44" t="s">
        <v>146</v>
      </c>
      <c r="C13" s="77" t="s">
        <v>9</v>
      </c>
      <c r="D13" s="78">
        <v>30</v>
      </c>
      <c r="E13" s="79">
        <v>40291</v>
      </c>
      <c r="F13" s="80">
        <v>40.53</v>
      </c>
      <c r="G13" s="173">
        <v>11939394310</v>
      </c>
      <c r="H13" s="174">
        <v>96.01</v>
      </c>
      <c r="I13" s="173">
        <v>95.51</v>
      </c>
      <c r="J13" s="39">
        <v>4.34</v>
      </c>
      <c r="K13" s="157">
        <v>12.159000000000001</v>
      </c>
      <c r="L13" s="156">
        <v>1228.0590000000002</v>
      </c>
      <c r="M13" s="156">
        <v>2880.3</v>
      </c>
      <c r="N13" s="172">
        <v>1.3454084860743658</v>
      </c>
      <c r="O13" s="158">
        <v>22.122119815668206</v>
      </c>
      <c r="P13" s="83" t="s">
        <v>216</v>
      </c>
      <c r="Q13" s="166">
        <v>1.8308687406384336E-2</v>
      </c>
    </row>
    <row r="14" spans="1:17" ht="14">
      <c r="A14" s="48" t="s">
        <v>52</v>
      </c>
      <c r="B14" s="77" t="s">
        <v>147</v>
      </c>
      <c r="C14" s="45" t="s">
        <v>10</v>
      </c>
      <c r="D14" s="23">
        <v>100</v>
      </c>
      <c r="E14" s="46">
        <v>40291</v>
      </c>
      <c r="F14" s="47">
        <v>18.53</v>
      </c>
      <c r="G14" s="173">
        <v>31076572682</v>
      </c>
      <c r="H14" s="174">
        <v>18.52</v>
      </c>
      <c r="I14" s="173">
        <v>18.38</v>
      </c>
      <c r="J14" s="39">
        <v>1.46</v>
      </c>
      <c r="K14" s="157">
        <v>18.53</v>
      </c>
      <c r="L14" s="156">
        <v>1871.53</v>
      </c>
      <c r="M14" s="156">
        <v>1852</v>
      </c>
      <c r="N14" s="172">
        <v>-1.0435312284601355E-2</v>
      </c>
      <c r="O14" s="158">
        <v>12.684931506849315</v>
      </c>
      <c r="P14" s="83" t="s">
        <v>216</v>
      </c>
      <c r="Q14" s="166">
        <v>1.1772276872764571E-2</v>
      </c>
    </row>
    <row r="15" spans="1:17" ht="42" hidden="1">
      <c r="A15" s="48" t="s">
        <v>95</v>
      </c>
      <c r="B15" s="77" t="s">
        <v>148</v>
      </c>
      <c r="C15" s="77" t="s">
        <v>7</v>
      </c>
      <c r="D15" s="78">
        <v>100</v>
      </c>
      <c r="E15" s="79">
        <v>40291</v>
      </c>
      <c r="F15" s="80">
        <v>48.72</v>
      </c>
      <c r="G15" s="173">
        <v>23104464730</v>
      </c>
      <c r="H15" s="174">
        <v>108.8</v>
      </c>
      <c r="I15" s="173">
        <v>108.63</v>
      </c>
      <c r="J15" s="39">
        <v>3.34</v>
      </c>
      <c r="K15" s="157">
        <v>28</v>
      </c>
      <c r="L15" s="156">
        <v>4900</v>
      </c>
      <c r="M15" s="156">
        <v>10880</v>
      </c>
      <c r="N15" s="172">
        <v>1.2204081632653061</v>
      </c>
      <c r="O15" s="158">
        <v>32.574850299401199</v>
      </c>
      <c r="P15" s="83" t="s">
        <v>216</v>
      </c>
      <c r="Q15" s="166">
        <v>6.9158948366997042E-2</v>
      </c>
    </row>
    <row r="16" spans="1:17" ht="70" hidden="1">
      <c r="A16" s="48" t="s">
        <v>96</v>
      </c>
      <c r="B16" s="77" t="s">
        <v>71</v>
      </c>
      <c r="C16" s="77" t="s">
        <v>10</v>
      </c>
      <c r="D16" s="78">
        <v>50</v>
      </c>
      <c r="E16" s="79">
        <v>40291</v>
      </c>
      <c r="F16" s="80">
        <v>126.99</v>
      </c>
      <c r="G16" s="173">
        <v>152508037371</v>
      </c>
      <c r="H16" s="174">
        <v>162.30000000000001</v>
      </c>
      <c r="I16" s="173">
        <v>161.69</v>
      </c>
      <c r="J16" s="39">
        <v>12.38</v>
      </c>
      <c r="K16" s="157">
        <v>28</v>
      </c>
      <c r="L16" s="156">
        <v>6377.5</v>
      </c>
      <c r="M16" s="156">
        <v>8115.0000000000009</v>
      </c>
      <c r="N16" s="172">
        <v>0.27244217953743644</v>
      </c>
      <c r="O16" s="158">
        <v>13.109854604200324</v>
      </c>
      <c r="P16" s="83" t="s">
        <v>216</v>
      </c>
      <c r="Q16" s="166">
        <v>5.1583167830715169E-2</v>
      </c>
    </row>
    <row r="17" spans="1:17" ht="28" hidden="1">
      <c r="A17" s="48" t="s">
        <v>97</v>
      </c>
      <c r="B17" s="77" t="s">
        <v>149</v>
      </c>
      <c r="C17" s="77" t="s">
        <v>11</v>
      </c>
      <c r="D17" s="78">
        <v>100</v>
      </c>
      <c r="E17" s="79">
        <v>40291</v>
      </c>
      <c r="F17" s="80">
        <v>56.48</v>
      </c>
      <c r="G17" s="173">
        <v>3457914174</v>
      </c>
      <c r="H17" s="174">
        <v>39.96</v>
      </c>
      <c r="I17" s="173">
        <v>39</v>
      </c>
      <c r="J17" s="39">
        <v>2.0699999999999998</v>
      </c>
      <c r="K17" s="157">
        <v>28</v>
      </c>
      <c r="L17" s="156">
        <v>5676</v>
      </c>
      <c r="M17" s="156">
        <v>3996</v>
      </c>
      <c r="N17" s="172">
        <v>-0.29598308668076112</v>
      </c>
      <c r="O17" s="158">
        <v>19.304347826086957</v>
      </c>
      <c r="P17" s="83" t="s">
        <v>217</v>
      </c>
      <c r="Q17" s="166">
        <v>2.540065787449634E-2</v>
      </c>
    </row>
    <row r="18" spans="1:17" ht="42" hidden="1">
      <c r="A18" s="48" t="s">
        <v>98</v>
      </c>
      <c r="B18" s="77" t="s">
        <v>72</v>
      </c>
      <c r="C18" s="77" t="s">
        <v>11</v>
      </c>
      <c r="D18" s="78">
        <v>100</v>
      </c>
      <c r="E18" s="79">
        <v>40291</v>
      </c>
      <c r="F18" s="80">
        <v>34.229999999999997</v>
      </c>
      <c r="G18" s="173">
        <v>38749953547</v>
      </c>
      <c r="H18" s="174">
        <v>41.73</v>
      </c>
      <c r="I18" s="173">
        <v>41.28</v>
      </c>
      <c r="J18" s="39">
        <v>-1.64</v>
      </c>
      <c r="K18" s="157">
        <v>28</v>
      </c>
      <c r="L18" s="156">
        <v>3450.9999999999995</v>
      </c>
      <c r="M18" s="156">
        <v>4173</v>
      </c>
      <c r="N18" s="172">
        <v>0.20921472037090713</v>
      </c>
      <c r="O18" s="158">
        <v>0</v>
      </c>
      <c r="P18" s="83" t="s">
        <v>216</v>
      </c>
      <c r="Q18" s="166">
        <v>2.6525762089657963E-2</v>
      </c>
    </row>
    <row r="19" spans="1:17" ht="42" hidden="1">
      <c r="A19" s="48" t="s">
        <v>99</v>
      </c>
      <c r="B19" s="77" t="s">
        <v>73</v>
      </c>
      <c r="C19" s="77" t="s">
        <v>12</v>
      </c>
      <c r="D19" s="78">
        <v>88</v>
      </c>
      <c r="E19" s="79">
        <v>40291</v>
      </c>
      <c r="F19" s="80">
        <v>65.040000000000006</v>
      </c>
      <c r="G19" s="173">
        <v>329020961069</v>
      </c>
      <c r="H19" s="174">
        <v>121.87</v>
      </c>
      <c r="I19" s="173">
        <v>121.37</v>
      </c>
      <c r="J19" s="39">
        <v>5.93</v>
      </c>
      <c r="K19" s="157">
        <v>28</v>
      </c>
      <c r="L19" s="156">
        <v>5751.52</v>
      </c>
      <c r="M19" s="156">
        <v>10724.560000000001</v>
      </c>
      <c r="N19" s="172">
        <v>0.86464795393217797</v>
      </c>
      <c r="O19" s="158">
        <v>20.551433389544691</v>
      </c>
      <c r="P19" s="83" t="s">
        <v>216</v>
      </c>
      <c r="Q19" s="166">
        <v>6.8170890744371493E-2</v>
      </c>
    </row>
    <row r="20" spans="1:17" ht="28" hidden="1">
      <c r="A20" s="48" t="s">
        <v>100</v>
      </c>
      <c r="B20" s="77" t="s">
        <v>150</v>
      </c>
      <c r="C20" s="77" t="s">
        <v>13</v>
      </c>
      <c r="D20" s="78">
        <v>200</v>
      </c>
      <c r="E20" s="79">
        <v>40291</v>
      </c>
      <c r="F20" s="80">
        <v>49.48</v>
      </c>
      <c r="G20" s="173">
        <v>6752919598</v>
      </c>
      <c r="H20" s="174">
        <v>40.76</v>
      </c>
      <c r="I20" s="173">
        <v>39.18</v>
      </c>
      <c r="J20" s="39">
        <v>3.11</v>
      </c>
      <c r="K20" s="157">
        <v>28</v>
      </c>
      <c r="L20" s="156">
        <v>9924</v>
      </c>
      <c r="M20" s="156">
        <v>8152</v>
      </c>
      <c r="N20" s="172">
        <v>-0.17855703345425231</v>
      </c>
      <c r="O20" s="158">
        <v>13.106109324758842</v>
      </c>
      <c r="P20" s="83" t="s">
        <v>218</v>
      </c>
      <c r="Q20" s="166">
        <v>5.1818359107330868E-2</v>
      </c>
    </row>
    <row r="21" spans="1:17" ht="28" hidden="1">
      <c r="A21" s="48" t="s">
        <v>122</v>
      </c>
      <c r="B21" s="77" t="s">
        <v>151</v>
      </c>
      <c r="C21" s="77" t="s">
        <v>12</v>
      </c>
      <c r="D21" s="78">
        <v>50</v>
      </c>
      <c r="E21" s="79">
        <v>40291</v>
      </c>
      <c r="F21" s="80">
        <v>35.46</v>
      </c>
      <c r="G21" s="173">
        <v>89250333937</v>
      </c>
      <c r="H21" s="174">
        <v>81.94</v>
      </c>
      <c r="I21" s="173">
        <v>80.89</v>
      </c>
      <c r="J21" s="39">
        <v>2.58</v>
      </c>
      <c r="K21" s="157">
        <v>17.73</v>
      </c>
      <c r="L21" s="156">
        <v>1790.73</v>
      </c>
      <c r="M21" s="156">
        <v>4097</v>
      </c>
      <c r="N21" s="172">
        <v>1.2878937639956889</v>
      </c>
      <c r="O21" s="158">
        <v>31.759689922480618</v>
      </c>
      <c r="P21" s="83" t="s">
        <v>216</v>
      </c>
      <c r="Q21" s="166">
        <v>2.6042666494447322E-2</v>
      </c>
    </row>
    <row r="22" spans="1:17" ht="14" hidden="1">
      <c r="A22" s="48" t="s">
        <v>165</v>
      </c>
      <c r="B22" s="77" t="s">
        <v>152</v>
      </c>
      <c r="C22" s="77" t="s">
        <v>13</v>
      </c>
      <c r="D22" s="78">
        <v>150</v>
      </c>
      <c r="E22" s="79">
        <v>40291</v>
      </c>
      <c r="F22" s="80">
        <v>29.48</v>
      </c>
      <c r="G22" s="173">
        <v>8877882353</v>
      </c>
      <c r="H22" s="174">
        <v>30.01</v>
      </c>
      <c r="I22" s="173">
        <v>29.09</v>
      </c>
      <c r="J22" s="39">
        <v>1.99</v>
      </c>
      <c r="K22" s="157">
        <v>28</v>
      </c>
      <c r="L22" s="156">
        <v>4450</v>
      </c>
      <c r="M22" s="156">
        <v>4501.5</v>
      </c>
      <c r="N22" s="172">
        <v>1.1573033707865169E-2</v>
      </c>
      <c r="O22" s="158">
        <v>15.080402010050252</v>
      </c>
      <c r="P22" s="83" t="s">
        <v>218</v>
      </c>
      <c r="Q22" s="166">
        <v>2.8613879234746065E-2</v>
      </c>
    </row>
    <row r="23" spans="1:17" ht="28" hidden="1">
      <c r="A23" s="48" t="s">
        <v>101</v>
      </c>
      <c r="B23" s="77" t="s">
        <v>153</v>
      </c>
      <c r="C23" s="77" t="s">
        <v>9</v>
      </c>
      <c r="D23" s="78">
        <v>50</v>
      </c>
      <c r="E23" s="79">
        <v>40291</v>
      </c>
      <c r="F23" s="80">
        <v>23.54</v>
      </c>
      <c r="G23" s="173">
        <v>8600521944</v>
      </c>
      <c r="H23" s="174">
        <v>25.21</v>
      </c>
      <c r="I23" s="173">
        <v>25.11</v>
      </c>
      <c r="J23" s="39">
        <v>0.92</v>
      </c>
      <c r="K23" s="157">
        <v>11.77</v>
      </c>
      <c r="L23" s="156">
        <v>1188.77</v>
      </c>
      <c r="M23" s="156">
        <v>1260.5</v>
      </c>
      <c r="N23" s="172">
        <v>6.0339678827695871E-2</v>
      </c>
      <c r="O23" s="158">
        <v>27.402173913043477</v>
      </c>
      <c r="P23" s="83" t="s">
        <v>218</v>
      </c>
      <c r="Q23" s="166">
        <v>8.012394707408067E-3</v>
      </c>
    </row>
    <row r="24" spans="1:17" ht="28">
      <c r="A24" s="48" t="s">
        <v>102</v>
      </c>
      <c r="B24" s="77" t="s">
        <v>74</v>
      </c>
      <c r="C24" s="77" t="s">
        <v>14</v>
      </c>
      <c r="D24" s="78">
        <v>240</v>
      </c>
      <c r="E24" s="79">
        <v>40291</v>
      </c>
      <c r="F24" s="80">
        <v>10.48</v>
      </c>
      <c r="G24" s="173">
        <v>1172951869</v>
      </c>
      <c r="H24" s="174">
        <v>8.7200000000000006</v>
      </c>
      <c r="I24" s="173">
        <v>8.6999999999999993</v>
      </c>
      <c r="J24" s="39">
        <v>-2.54</v>
      </c>
      <c r="K24" s="157">
        <v>25.152000000000005</v>
      </c>
      <c r="L24" s="156">
        <v>2540.3520000000003</v>
      </c>
      <c r="M24" s="156">
        <v>2092.8000000000002</v>
      </c>
      <c r="N24" s="172">
        <v>-0.17617715970070291</v>
      </c>
      <c r="O24" s="158">
        <v>0</v>
      </c>
      <c r="P24" s="83" t="s">
        <v>217</v>
      </c>
      <c r="Q24" s="166">
        <v>1.330292712706355E-2</v>
      </c>
    </row>
    <row r="25" spans="1:17" ht="42">
      <c r="A25" s="48" t="s">
        <v>103</v>
      </c>
      <c r="B25" s="77" t="s">
        <v>75</v>
      </c>
      <c r="C25" s="77" t="s">
        <v>14</v>
      </c>
      <c r="D25" s="78">
        <v>250</v>
      </c>
      <c r="E25" s="79">
        <v>40291</v>
      </c>
      <c r="F25" s="80">
        <v>19.21</v>
      </c>
      <c r="G25" s="173">
        <v>34041939137</v>
      </c>
      <c r="H25" s="174">
        <v>17.25</v>
      </c>
      <c r="I25" s="173">
        <v>16.96</v>
      </c>
      <c r="J25" s="39">
        <v>1.41</v>
      </c>
      <c r="K25" s="157">
        <v>28</v>
      </c>
      <c r="L25" s="156">
        <v>4830.5</v>
      </c>
      <c r="M25" s="156">
        <v>4312.5</v>
      </c>
      <c r="N25" s="172">
        <v>-0.10723527585136114</v>
      </c>
      <c r="O25" s="158">
        <v>12.23404255319149</v>
      </c>
      <c r="P25" s="83" t="s">
        <v>216</v>
      </c>
      <c r="Q25" s="166">
        <v>2.7412496767709075E-2</v>
      </c>
    </row>
    <row r="26" spans="1:17" ht="28" hidden="1">
      <c r="A26" s="48" t="s">
        <v>167</v>
      </c>
      <c r="B26" s="77" t="s">
        <v>154</v>
      </c>
      <c r="C26" s="77" t="s">
        <v>10</v>
      </c>
      <c r="D26" s="78">
        <v>150</v>
      </c>
      <c r="E26" s="79">
        <v>40291</v>
      </c>
      <c r="F26" s="80">
        <v>30.96</v>
      </c>
      <c r="G26" s="173">
        <v>502598539492</v>
      </c>
      <c r="H26" s="174">
        <v>65.5</v>
      </c>
      <c r="I26" s="173">
        <v>65.040000000000006</v>
      </c>
      <c r="J26" s="39">
        <v>2.13</v>
      </c>
      <c r="K26" s="157">
        <v>28</v>
      </c>
      <c r="L26" s="156">
        <v>4672</v>
      </c>
      <c r="M26" s="156">
        <v>9825</v>
      </c>
      <c r="N26" s="172">
        <v>1.1029537671232876</v>
      </c>
      <c r="O26" s="158">
        <v>30.751173708920188</v>
      </c>
      <c r="P26" s="83" t="s">
        <v>216</v>
      </c>
      <c r="Q26" s="166">
        <v>6.2452818722954585E-2</v>
      </c>
    </row>
    <row r="27" spans="1:17" ht="42">
      <c r="A27" s="77" t="s">
        <v>104</v>
      </c>
      <c r="B27" s="77" t="s">
        <v>76</v>
      </c>
      <c r="C27" s="77" t="s">
        <v>8</v>
      </c>
      <c r="D27" s="78">
        <v>50</v>
      </c>
      <c r="E27" s="79">
        <v>40291</v>
      </c>
      <c r="F27" s="80">
        <v>22.61</v>
      </c>
      <c r="G27" s="173">
        <v>3412743063</v>
      </c>
      <c r="H27" s="174">
        <v>11.77</v>
      </c>
      <c r="I27" s="173">
        <v>11.96</v>
      </c>
      <c r="J27" s="39">
        <v>-3.64</v>
      </c>
      <c r="K27" s="157">
        <v>11.305</v>
      </c>
      <c r="L27" s="156">
        <v>1141.8050000000001</v>
      </c>
      <c r="M27" s="156">
        <v>588.5</v>
      </c>
      <c r="N27" s="172">
        <v>-0.48458799882641962</v>
      </c>
      <c r="O27" s="158">
        <v>0</v>
      </c>
      <c r="P27" s="83" t="s">
        <v>217</v>
      </c>
      <c r="Q27" s="166">
        <v>3.7408126023876615E-3</v>
      </c>
    </row>
    <row r="28" spans="1:17" ht="28" hidden="1">
      <c r="A28" s="77" t="s">
        <v>105</v>
      </c>
      <c r="B28" s="77" t="s">
        <v>77</v>
      </c>
      <c r="C28" s="77" t="s">
        <v>10</v>
      </c>
      <c r="D28" s="78">
        <v>200</v>
      </c>
      <c r="E28" s="79">
        <v>40291</v>
      </c>
      <c r="F28" s="80">
        <v>14.32</v>
      </c>
      <c r="G28" s="173">
        <v>4504830000</v>
      </c>
      <c r="H28" s="174">
        <v>35.89</v>
      </c>
      <c r="I28" s="173">
        <v>36.299999999999997</v>
      </c>
      <c r="J28" s="39">
        <v>1.49</v>
      </c>
      <c r="K28" s="157">
        <v>28</v>
      </c>
      <c r="L28" s="156">
        <v>2892</v>
      </c>
      <c r="M28" s="156">
        <v>7178</v>
      </c>
      <c r="N28" s="172">
        <v>1.4820193637621024</v>
      </c>
      <c r="O28" s="158">
        <v>24.087248322147651</v>
      </c>
      <c r="P28" s="83" t="s">
        <v>217</v>
      </c>
      <c r="Q28" s="166">
        <v>4.5627107663447131E-2</v>
      </c>
    </row>
    <row r="29" spans="1:17" ht="28" hidden="1">
      <c r="A29" s="77" t="s">
        <v>106</v>
      </c>
      <c r="B29" s="77" t="s">
        <v>155</v>
      </c>
      <c r="C29" s="77" t="s">
        <v>8</v>
      </c>
      <c r="D29" s="78">
        <v>100</v>
      </c>
      <c r="E29" s="79">
        <v>40291</v>
      </c>
      <c r="F29" s="80">
        <v>43.63</v>
      </c>
      <c r="G29" s="173">
        <v>1279686860</v>
      </c>
      <c r="H29" s="174">
        <v>5.31</v>
      </c>
      <c r="I29" s="173">
        <v>5.23</v>
      </c>
      <c r="J29" s="39">
        <v>-3.82</v>
      </c>
      <c r="K29" s="157">
        <v>28</v>
      </c>
      <c r="L29" s="156">
        <v>4391</v>
      </c>
      <c r="M29" s="156">
        <v>531</v>
      </c>
      <c r="N29" s="172">
        <v>-0.87907082669095882</v>
      </c>
      <c r="O29" s="158">
        <v>0</v>
      </c>
      <c r="P29" s="83" t="s">
        <v>217</v>
      </c>
      <c r="Q29" s="166">
        <v>3.375312645484874E-3</v>
      </c>
    </row>
    <row r="30" spans="1:17" ht="28" hidden="1">
      <c r="A30" s="77" t="s">
        <v>107</v>
      </c>
      <c r="B30" s="77" t="s">
        <v>78</v>
      </c>
      <c r="C30" s="77" t="s">
        <v>14</v>
      </c>
      <c r="D30" s="78">
        <v>10</v>
      </c>
      <c r="E30" s="79">
        <v>40291</v>
      </c>
      <c r="F30" s="80">
        <v>20.86</v>
      </c>
      <c r="G30" s="173">
        <v>22579661595</v>
      </c>
      <c r="H30" s="174">
        <v>39.409999999999997</v>
      </c>
      <c r="I30" s="173">
        <v>38.869999999999997</v>
      </c>
      <c r="J30" s="39">
        <v>1.76</v>
      </c>
      <c r="K30" s="157">
        <v>2.0859999999999999</v>
      </c>
      <c r="L30" s="156">
        <v>210.68600000000001</v>
      </c>
      <c r="M30" s="156">
        <v>394.09999999999997</v>
      </c>
      <c r="N30" s="172">
        <v>0.87055618313509175</v>
      </c>
      <c r="O30" s="158">
        <v>22.392045454545453</v>
      </c>
      <c r="P30" s="83" t="s">
        <v>216</v>
      </c>
      <c r="Q30" s="166">
        <v>2.5051049220067585E-3</v>
      </c>
    </row>
    <row r="31" spans="1:17" ht="42" hidden="1">
      <c r="A31" s="77" t="s">
        <v>108</v>
      </c>
      <c r="B31" s="77" t="s">
        <v>156</v>
      </c>
      <c r="C31" s="77" t="s">
        <v>13</v>
      </c>
      <c r="D31" s="78">
        <v>150</v>
      </c>
      <c r="E31" s="79">
        <v>40291</v>
      </c>
      <c r="F31" s="80">
        <v>48.01</v>
      </c>
      <c r="G31" s="173">
        <v>49645861156</v>
      </c>
      <c r="H31" s="174">
        <v>78.17</v>
      </c>
      <c r="I31" s="173">
        <v>76.900000000000006</v>
      </c>
      <c r="J31" s="39">
        <v>3.46</v>
      </c>
      <c r="K31" s="157">
        <v>28</v>
      </c>
      <c r="L31" s="156">
        <v>7229.5</v>
      </c>
      <c r="M31" s="156">
        <v>11725.5</v>
      </c>
      <c r="N31" s="172">
        <v>0.62189639670793273</v>
      </c>
      <c r="O31" s="158">
        <v>22.592485549132949</v>
      </c>
      <c r="P31" s="83" t="s">
        <v>216</v>
      </c>
      <c r="Q31" s="166">
        <v>7.4533386863715426E-2</v>
      </c>
    </row>
    <row r="32" spans="1:17" ht="28" hidden="1">
      <c r="A32" s="77" t="s">
        <v>109</v>
      </c>
      <c r="B32" s="77" t="s">
        <v>157</v>
      </c>
      <c r="C32" s="77" t="s">
        <v>13</v>
      </c>
      <c r="D32" s="78">
        <v>100</v>
      </c>
      <c r="E32" s="79">
        <v>40291</v>
      </c>
      <c r="F32" s="80">
        <v>56.53</v>
      </c>
      <c r="G32" s="173">
        <v>224654982481</v>
      </c>
      <c r="H32" s="174">
        <v>74.8</v>
      </c>
      <c r="I32" s="173">
        <v>74.069999999999993</v>
      </c>
      <c r="J32" s="39">
        <v>4.38</v>
      </c>
      <c r="K32" s="157">
        <v>28</v>
      </c>
      <c r="L32" s="156">
        <v>5681</v>
      </c>
      <c r="M32" s="156">
        <v>7480</v>
      </c>
      <c r="N32" s="172">
        <v>0.31666960042246084</v>
      </c>
      <c r="O32" s="158">
        <v>17.077625570776256</v>
      </c>
      <c r="P32" s="83" t="s">
        <v>216</v>
      </c>
      <c r="Q32" s="166">
        <v>4.7546777002310463E-2</v>
      </c>
    </row>
    <row r="33" spans="1:17" ht="42" hidden="1">
      <c r="A33" s="77" t="s">
        <v>110</v>
      </c>
      <c r="B33" s="77" t="s">
        <v>79</v>
      </c>
      <c r="C33" s="77" t="s">
        <v>15</v>
      </c>
      <c r="D33" s="78">
        <v>50</v>
      </c>
      <c r="E33" s="79">
        <v>40291</v>
      </c>
      <c r="F33" s="80">
        <v>59.24</v>
      </c>
      <c r="G33" s="173">
        <v>4953343427</v>
      </c>
      <c r="H33" s="174">
        <v>30.51</v>
      </c>
      <c r="I33" s="173">
        <v>28.42</v>
      </c>
      <c r="J33" s="39">
        <v>-2.81</v>
      </c>
      <c r="K33" s="157">
        <v>28</v>
      </c>
      <c r="L33" s="156">
        <v>2990</v>
      </c>
      <c r="M33" s="156">
        <v>1525.5</v>
      </c>
      <c r="N33" s="172">
        <v>-0.4897993311036789</v>
      </c>
      <c r="O33" s="158">
        <v>0</v>
      </c>
      <c r="P33" s="83" t="s">
        <v>217</v>
      </c>
      <c r="Q33" s="166">
        <v>9.6968727696556973E-3</v>
      </c>
    </row>
    <row r="34" spans="1:17" ht="70">
      <c r="A34" s="77" t="s">
        <v>50</v>
      </c>
      <c r="B34" s="77" t="s">
        <v>158</v>
      </c>
      <c r="C34" s="77" t="s">
        <v>11</v>
      </c>
      <c r="D34" s="78">
        <v>50</v>
      </c>
      <c r="E34" s="79">
        <v>40291</v>
      </c>
      <c r="F34" s="80">
        <v>13.11</v>
      </c>
      <c r="G34" s="173">
        <v>50166800</v>
      </c>
      <c r="H34" s="174">
        <v>2.74</v>
      </c>
      <c r="I34" s="173">
        <v>2.76</v>
      </c>
      <c r="J34" s="39">
        <v>-89.3</v>
      </c>
      <c r="K34" s="157">
        <v>6.5549999999999997</v>
      </c>
      <c r="L34" s="156">
        <v>662.05499999999995</v>
      </c>
      <c r="M34" s="156">
        <v>137</v>
      </c>
      <c r="N34" s="172">
        <v>-0.7930685517064292</v>
      </c>
      <c r="O34" s="158">
        <v>0</v>
      </c>
      <c r="P34" s="83" t="s">
        <v>217</v>
      </c>
      <c r="Q34" s="166">
        <v>8.7084337557707676E-4</v>
      </c>
    </row>
    <row r="35" spans="1:17" ht="28" hidden="1">
      <c r="A35" s="77" t="s">
        <v>124</v>
      </c>
      <c r="B35" s="77" t="s">
        <v>125</v>
      </c>
      <c r="C35" s="77" t="s">
        <v>10</v>
      </c>
      <c r="D35" s="78">
        <v>50</v>
      </c>
      <c r="E35" s="79">
        <v>40291</v>
      </c>
      <c r="F35" s="80">
        <v>17.64</v>
      </c>
      <c r="G35" s="173">
        <v>44954899199</v>
      </c>
      <c r="H35" s="174">
        <v>47.67</v>
      </c>
      <c r="I35" s="173">
        <v>47</v>
      </c>
      <c r="J35" s="39">
        <v>-0.23</v>
      </c>
      <c r="K35" s="157">
        <v>8.82</v>
      </c>
      <c r="L35" s="156">
        <v>890.82</v>
      </c>
      <c r="M35" s="156">
        <v>2383.5</v>
      </c>
      <c r="N35" s="172">
        <v>1.6756247053276754</v>
      </c>
      <c r="O35" s="158">
        <v>0</v>
      </c>
      <c r="P35" s="83" t="s">
        <v>216</v>
      </c>
      <c r="Q35" s="166">
        <v>1.515076777874425E-2</v>
      </c>
    </row>
    <row r="38" spans="1:17">
      <c r="A38" s="325" t="s">
        <v>444</v>
      </c>
      <c r="B38" s="325"/>
      <c r="C38" s="325"/>
      <c r="D38" s="325"/>
    </row>
    <row r="39" spans="1:17">
      <c r="A39" s="325"/>
      <c r="B39" s="325"/>
      <c r="C39" s="325"/>
      <c r="D39" s="325"/>
    </row>
  </sheetData>
  <autoFilter ref="A4:Q35" xr:uid="{38E6CCD6-CCAB-A24A-A0AE-4EF0E3D839E4}">
    <filterColumn colId="5">
      <customFilters>
        <customFilter operator="lessThan" val="40"/>
      </customFilters>
    </filterColumn>
    <filterColumn colId="13">
      <customFilters>
        <customFilter operator="lessThan" val="0"/>
      </customFilters>
    </filterColumn>
  </autoFilter>
  <mergeCells count="2">
    <mergeCell ref="A1:J1"/>
    <mergeCell ref="A38:D39"/>
  </mergeCells>
  <phoneticPr fontId="3" type="noConversion"/>
  <pageMargins left="0.75" right="0.75" top="1" bottom="1" header="0.5" footer="0.5"/>
  <pageSetup orientation="landscape" r:id="rId1"/>
  <headerFooter alignWithMargins="0">
    <oddHeader>&amp;CStephanie Agbenorhevi</oddHead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D42"/>
  <sheetViews>
    <sheetView view="pageLayout" zoomScaleNormal="100" workbookViewId="0">
      <selection activeCell="A41" sqref="A41:C42"/>
    </sheetView>
  </sheetViews>
  <sheetFormatPr baseColWidth="10" defaultColWidth="8.83203125" defaultRowHeight="13"/>
  <cols>
    <col min="1" max="1" width="13.1640625" bestFit="1" customWidth="1"/>
    <col min="2" max="2" width="20.1640625" bestFit="1" customWidth="1"/>
    <col min="3" max="3" width="15.6640625" bestFit="1" customWidth="1"/>
    <col min="4" max="4" width="20" bestFit="1" customWidth="1"/>
  </cols>
  <sheetData>
    <row r="1" spans="1:4" ht="18">
      <c r="A1" s="22" t="s">
        <v>42</v>
      </c>
    </row>
    <row r="4" spans="1:4">
      <c r="A4" s="168" t="s">
        <v>2</v>
      </c>
      <c r="B4" s="155" t="s">
        <v>210</v>
      </c>
    </row>
    <row r="6" spans="1:4">
      <c r="A6" s="168" t="s">
        <v>0</v>
      </c>
      <c r="B6" s="155" t="s">
        <v>219</v>
      </c>
      <c r="C6" s="155" t="s">
        <v>220</v>
      </c>
      <c r="D6" s="155" t="s">
        <v>221</v>
      </c>
    </row>
    <row r="7" spans="1:4">
      <c r="A7" s="169" t="s">
        <v>171</v>
      </c>
      <c r="B7" s="177">
        <v>28.53</v>
      </c>
      <c r="C7" s="177">
        <v>43.98</v>
      </c>
      <c r="D7" s="177">
        <v>43.59</v>
      </c>
    </row>
    <row r="8" spans="1:4">
      <c r="A8" s="169" t="s">
        <v>177</v>
      </c>
      <c r="B8" s="177">
        <v>105.48</v>
      </c>
      <c r="C8" s="177">
        <v>162.72</v>
      </c>
      <c r="D8" s="177">
        <v>164.4</v>
      </c>
    </row>
    <row r="9" spans="1:4">
      <c r="A9" s="169" t="s">
        <v>44</v>
      </c>
      <c r="B9" s="177">
        <v>23.15</v>
      </c>
      <c r="C9" s="177">
        <v>40.72</v>
      </c>
      <c r="D9" s="177">
        <v>40.479999999999997</v>
      </c>
    </row>
    <row r="10" spans="1:4">
      <c r="A10" s="169" t="s">
        <v>168</v>
      </c>
      <c r="B10" s="177">
        <v>67.88</v>
      </c>
      <c r="C10" s="177">
        <v>99.59</v>
      </c>
      <c r="D10" s="177">
        <v>98.04</v>
      </c>
    </row>
    <row r="11" spans="1:4">
      <c r="A11" s="169" t="s">
        <v>91</v>
      </c>
      <c r="B11" s="177">
        <v>34.46</v>
      </c>
      <c r="C11" s="177">
        <v>57.5</v>
      </c>
      <c r="D11" s="177">
        <v>57.28</v>
      </c>
    </row>
    <row r="12" spans="1:4">
      <c r="A12" s="169" t="s">
        <v>92</v>
      </c>
      <c r="B12" s="177">
        <v>69.41</v>
      </c>
      <c r="C12" s="177">
        <v>39.700000000000003</v>
      </c>
      <c r="D12" s="177">
        <v>39.25</v>
      </c>
    </row>
    <row r="13" spans="1:4">
      <c r="A13" s="169" t="s">
        <v>93</v>
      </c>
      <c r="B13" s="177">
        <v>70.63</v>
      </c>
      <c r="C13" s="177">
        <v>57.88</v>
      </c>
      <c r="D13" s="177">
        <v>57.84</v>
      </c>
    </row>
    <row r="14" spans="1:4">
      <c r="A14" s="169" t="s">
        <v>173</v>
      </c>
      <c r="B14" s="177">
        <v>20.14</v>
      </c>
      <c r="C14" s="177">
        <v>40.71</v>
      </c>
      <c r="D14" s="177">
        <v>40.840000000000003</v>
      </c>
    </row>
    <row r="15" spans="1:4">
      <c r="A15" s="169" t="s">
        <v>94</v>
      </c>
      <c r="B15" s="177">
        <v>40.53</v>
      </c>
      <c r="C15" s="177">
        <v>96.01</v>
      </c>
      <c r="D15" s="177">
        <v>95.51</v>
      </c>
    </row>
    <row r="16" spans="1:4">
      <c r="A16" s="169" t="s">
        <v>52</v>
      </c>
      <c r="B16" s="177">
        <v>18.53</v>
      </c>
      <c r="C16" s="177">
        <v>18.52</v>
      </c>
      <c r="D16" s="177">
        <v>18.38</v>
      </c>
    </row>
    <row r="17" spans="1:4">
      <c r="A17" s="169" t="s">
        <v>95</v>
      </c>
      <c r="B17" s="177">
        <v>48.72</v>
      </c>
      <c r="C17" s="177">
        <v>108.8</v>
      </c>
      <c r="D17" s="177">
        <v>108.63</v>
      </c>
    </row>
    <row r="18" spans="1:4">
      <c r="A18" s="169" t="s">
        <v>96</v>
      </c>
      <c r="B18" s="177">
        <v>126.99</v>
      </c>
      <c r="C18" s="177">
        <v>162.30000000000001</v>
      </c>
      <c r="D18" s="177">
        <v>161.69</v>
      </c>
    </row>
    <row r="19" spans="1:4">
      <c r="A19" s="169" t="s">
        <v>97</v>
      </c>
      <c r="B19" s="177">
        <v>56.48</v>
      </c>
      <c r="C19" s="177">
        <v>39.96</v>
      </c>
      <c r="D19" s="177">
        <v>39</v>
      </c>
    </row>
    <row r="20" spans="1:4">
      <c r="A20" s="169" t="s">
        <v>98</v>
      </c>
      <c r="B20" s="177">
        <v>34.229999999999997</v>
      </c>
      <c r="C20" s="177">
        <v>41.73</v>
      </c>
      <c r="D20" s="177">
        <v>41.28</v>
      </c>
    </row>
    <row r="21" spans="1:4">
      <c r="A21" s="169" t="s">
        <v>99</v>
      </c>
      <c r="B21" s="177">
        <v>65.040000000000006</v>
      </c>
      <c r="C21" s="177">
        <v>121.87</v>
      </c>
      <c r="D21" s="177">
        <v>121.37</v>
      </c>
    </row>
    <row r="22" spans="1:4">
      <c r="A22" s="169" t="s">
        <v>100</v>
      </c>
      <c r="B22" s="177">
        <v>49.48</v>
      </c>
      <c r="C22" s="177">
        <v>40.76</v>
      </c>
      <c r="D22" s="177">
        <v>39.18</v>
      </c>
    </row>
    <row r="23" spans="1:4">
      <c r="A23" s="169" t="s">
        <v>122</v>
      </c>
      <c r="B23" s="177">
        <v>35.46</v>
      </c>
      <c r="C23" s="177">
        <v>81.94</v>
      </c>
      <c r="D23" s="177">
        <v>80.89</v>
      </c>
    </row>
    <row r="24" spans="1:4">
      <c r="A24" s="169" t="s">
        <v>165</v>
      </c>
      <c r="B24" s="177">
        <v>29.48</v>
      </c>
      <c r="C24" s="177">
        <v>30.01</v>
      </c>
      <c r="D24" s="177">
        <v>29.09</v>
      </c>
    </row>
    <row r="25" spans="1:4">
      <c r="A25" s="169" t="s">
        <v>101</v>
      </c>
      <c r="B25" s="177">
        <v>23.54</v>
      </c>
      <c r="C25" s="177">
        <v>25.21</v>
      </c>
      <c r="D25" s="177">
        <v>25.11</v>
      </c>
    </row>
    <row r="26" spans="1:4">
      <c r="A26" s="169" t="s">
        <v>102</v>
      </c>
      <c r="B26" s="177">
        <v>10.48</v>
      </c>
      <c r="C26" s="177">
        <v>8.7200000000000006</v>
      </c>
      <c r="D26" s="177">
        <v>8.6999999999999993</v>
      </c>
    </row>
    <row r="27" spans="1:4">
      <c r="A27" s="169" t="s">
        <v>103</v>
      </c>
      <c r="B27" s="177">
        <v>19.21</v>
      </c>
      <c r="C27" s="177">
        <v>17.25</v>
      </c>
      <c r="D27" s="177">
        <v>16.96</v>
      </c>
    </row>
    <row r="28" spans="1:4">
      <c r="A28" s="169" t="s">
        <v>167</v>
      </c>
      <c r="B28" s="177">
        <v>30.96</v>
      </c>
      <c r="C28" s="177">
        <v>65.5</v>
      </c>
      <c r="D28" s="177">
        <v>65.040000000000006</v>
      </c>
    </row>
    <row r="29" spans="1:4">
      <c r="A29" s="169" t="s">
        <v>104</v>
      </c>
      <c r="B29" s="177">
        <v>22.61</v>
      </c>
      <c r="C29" s="177">
        <v>11.77</v>
      </c>
      <c r="D29" s="177">
        <v>11.96</v>
      </c>
    </row>
    <row r="30" spans="1:4">
      <c r="A30" s="169" t="s">
        <v>105</v>
      </c>
      <c r="B30" s="177">
        <v>14.32</v>
      </c>
      <c r="C30" s="177">
        <v>35.89</v>
      </c>
      <c r="D30" s="177">
        <v>36.299999999999997</v>
      </c>
    </row>
    <row r="31" spans="1:4">
      <c r="A31" s="169" t="s">
        <v>106</v>
      </c>
      <c r="B31" s="177">
        <v>43.63</v>
      </c>
      <c r="C31" s="177">
        <v>5.31</v>
      </c>
      <c r="D31" s="177">
        <v>5.23</v>
      </c>
    </row>
    <row r="32" spans="1:4">
      <c r="A32" s="169" t="s">
        <v>107</v>
      </c>
      <c r="B32" s="177">
        <v>20.86</v>
      </c>
      <c r="C32" s="177">
        <v>39.409999999999997</v>
      </c>
      <c r="D32" s="177">
        <v>38.869999999999997</v>
      </c>
    </row>
    <row r="33" spans="1:4">
      <c r="A33" s="169" t="s">
        <v>108</v>
      </c>
      <c r="B33" s="177">
        <v>48.01</v>
      </c>
      <c r="C33" s="177">
        <v>78.17</v>
      </c>
      <c r="D33" s="177">
        <v>76.900000000000006</v>
      </c>
    </row>
    <row r="34" spans="1:4">
      <c r="A34" s="169" t="s">
        <v>109</v>
      </c>
      <c r="B34" s="177">
        <v>56.53</v>
      </c>
      <c r="C34" s="177">
        <v>74.8</v>
      </c>
      <c r="D34" s="177">
        <v>74.069999999999993</v>
      </c>
    </row>
    <row r="35" spans="1:4">
      <c r="A35" s="169" t="s">
        <v>110</v>
      </c>
      <c r="B35" s="177">
        <v>59.24</v>
      </c>
      <c r="C35" s="177">
        <v>30.51</v>
      </c>
      <c r="D35" s="177">
        <v>28.42</v>
      </c>
    </row>
    <row r="36" spans="1:4">
      <c r="A36" s="169" t="s">
        <v>50</v>
      </c>
      <c r="B36" s="177">
        <v>13.11</v>
      </c>
      <c r="C36" s="177">
        <v>2.74</v>
      </c>
      <c r="D36" s="177">
        <v>2.76</v>
      </c>
    </row>
    <row r="37" spans="1:4">
      <c r="A37" s="169" t="s">
        <v>124</v>
      </c>
      <c r="B37" s="177">
        <v>17.64</v>
      </c>
      <c r="C37" s="177">
        <v>47.67</v>
      </c>
      <c r="D37" s="177">
        <v>47</v>
      </c>
    </row>
    <row r="38" spans="1:4">
      <c r="A38" s="169" t="s">
        <v>212</v>
      </c>
      <c r="B38" s="177">
        <v>1304.76</v>
      </c>
      <c r="C38" s="177">
        <v>1727.65</v>
      </c>
      <c r="D38" s="177">
        <v>1714.06</v>
      </c>
    </row>
    <row r="41" spans="1:4">
      <c r="A41" s="324" t="s">
        <v>443</v>
      </c>
      <c r="B41" s="324"/>
      <c r="C41" s="324"/>
    </row>
    <row r="42" spans="1:4">
      <c r="A42" s="324"/>
      <c r="B42" s="324"/>
      <c r="C42" s="324"/>
    </row>
  </sheetData>
  <mergeCells count="1">
    <mergeCell ref="A41:C42"/>
  </mergeCells>
  <phoneticPr fontId="3" type="noConversion"/>
  <pageMargins left="0.75" right="0.75" top="1" bottom="1" header="0.5" footer="0.5"/>
  <pageSetup orientation="portrait" r:id="rId2"/>
  <headerFooter alignWithMargins="0">
    <oddHeader>&amp;CStephanie Agbenorhevi</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S170"/>
  <sheetViews>
    <sheetView view="pageLayout" zoomScaleNormal="82" workbookViewId="0">
      <selection activeCell="E59" sqref="E59"/>
    </sheetView>
  </sheetViews>
  <sheetFormatPr baseColWidth="10" defaultColWidth="8.83203125" defaultRowHeight="13"/>
  <cols>
    <col min="2" max="2" width="8.83203125" style="167" customWidth="1"/>
    <col min="3" max="3" width="36.83203125" style="167" customWidth="1"/>
    <col min="4" max="4" width="13.83203125" style="167" customWidth="1"/>
    <col min="5" max="5" width="12.33203125" style="167" customWidth="1"/>
    <col min="6" max="6" width="15.33203125" style="167" customWidth="1"/>
    <col min="7" max="7" width="14.83203125" style="167" bestFit="1" customWidth="1"/>
    <col min="8" max="8" width="19.1640625" style="167" customWidth="1"/>
    <col min="9" max="9" width="11.5" style="167" customWidth="1"/>
    <col min="10" max="10" width="17.5" style="167" customWidth="1"/>
    <col min="11" max="11" width="20.6640625" style="167" customWidth="1"/>
    <col min="12" max="12" width="14.33203125" style="167" customWidth="1"/>
    <col min="13" max="13" width="12.1640625" style="167" customWidth="1"/>
    <col min="14" max="14" width="14.5" style="167" customWidth="1"/>
    <col min="15" max="15" width="9.5" style="167" customWidth="1"/>
    <col min="16" max="16" width="10.1640625" style="167" customWidth="1"/>
    <col min="17" max="17" width="20.6640625" style="167" customWidth="1"/>
    <col min="18" max="18" width="21.33203125" style="167" customWidth="1"/>
    <col min="19" max="19" width="17.1640625" customWidth="1"/>
  </cols>
  <sheetData>
    <row r="1" spans="1:19">
      <c r="B1" s="20" t="s">
        <v>0</v>
      </c>
      <c r="C1" s="20" t="s">
        <v>1</v>
      </c>
      <c r="D1" s="20" t="s">
        <v>2</v>
      </c>
      <c r="E1" s="20" t="s">
        <v>3</v>
      </c>
      <c r="F1" s="20" t="s">
        <v>4</v>
      </c>
      <c r="G1" s="20" t="s">
        <v>5</v>
      </c>
      <c r="H1" s="20" t="s">
        <v>16</v>
      </c>
      <c r="I1" s="20" t="s">
        <v>17</v>
      </c>
      <c r="J1" s="20" t="s">
        <v>18</v>
      </c>
      <c r="K1" s="20" t="s">
        <v>19</v>
      </c>
      <c r="L1" s="20" t="s">
        <v>20</v>
      </c>
      <c r="M1" s="20" t="s">
        <v>21</v>
      </c>
      <c r="N1" s="20" t="s">
        <v>23</v>
      </c>
      <c r="O1" s="20" t="s">
        <v>24</v>
      </c>
      <c r="P1" s="20" t="s">
        <v>25</v>
      </c>
      <c r="Q1" s="20" t="s">
        <v>26</v>
      </c>
      <c r="R1" s="20" t="s">
        <v>22</v>
      </c>
      <c r="S1" s="3"/>
    </row>
    <row r="2" spans="1:19">
      <c r="B2" s="10"/>
      <c r="C2" s="10"/>
      <c r="D2" s="10"/>
      <c r="E2" s="10"/>
      <c r="F2" s="10"/>
      <c r="G2" s="10"/>
      <c r="H2" s="10"/>
      <c r="I2" s="10"/>
      <c r="J2" s="10"/>
      <c r="K2" s="10"/>
      <c r="L2" s="10"/>
      <c r="M2" s="10"/>
      <c r="N2" s="10"/>
      <c r="O2" s="10"/>
      <c r="P2" s="10"/>
      <c r="Q2" s="10"/>
      <c r="R2" s="10"/>
      <c r="S2" s="3"/>
    </row>
    <row r="3" spans="1:19">
      <c r="B3" s="10"/>
      <c r="C3" s="10"/>
      <c r="D3" s="10"/>
      <c r="E3" s="10"/>
      <c r="F3" s="10"/>
      <c r="G3" s="10"/>
      <c r="H3" s="10"/>
      <c r="I3" s="10"/>
      <c r="J3" s="10"/>
      <c r="K3" s="10"/>
      <c r="L3" s="10"/>
      <c r="M3" s="10"/>
      <c r="N3" s="10"/>
      <c r="O3" s="10"/>
      <c r="P3" s="10"/>
      <c r="Q3" s="10"/>
      <c r="R3" s="10"/>
      <c r="S3" s="3"/>
    </row>
    <row r="7" spans="1:19" ht="14" thickBot="1">
      <c r="B7" s="1"/>
      <c r="C7"/>
      <c r="D7"/>
      <c r="E7"/>
      <c r="F7"/>
      <c r="G7"/>
      <c r="H7"/>
      <c r="I7"/>
      <c r="J7"/>
      <c r="K7"/>
      <c r="L7"/>
      <c r="M7"/>
      <c r="N7"/>
      <c r="O7"/>
      <c r="P7"/>
      <c r="Q7"/>
      <c r="R7"/>
    </row>
    <row r="8" spans="1:19" ht="15" thickBot="1">
      <c r="B8"/>
      <c r="C8"/>
      <c r="D8"/>
      <c r="E8" s="57" t="s">
        <v>138</v>
      </c>
      <c r="F8" s="58"/>
      <c r="G8" s="58"/>
      <c r="H8" s="59"/>
      <c r="I8" s="59"/>
      <c r="J8"/>
      <c r="K8"/>
      <c r="L8"/>
      <c r="M8"/>
      <c r="N8"/>
      <c r="O8"/>
      <c r="P8"/>
      <c r="Q8"/>
      <c r="R8"/>
    </row>
    <row r="10" spans="1:19" ht="18" customHeight="1">
      <c r="B10" s="1" t="s">
        <v>0</v>
      </c>
      <c r="C10" s="1" t="s">
        <v>1</v>
      </c>
      <c r="D10" s="1" t="s">
        <v>2</v>
      </c>
      <c r="E10" s="1" t="s">
        <v>3</v>
      </c>
      <c r="F10" s="1" t="s">
        <v>4</v>
      </c>
      <c r="G10" s="1" t="s">
        <v>5</v>
      </c>
      <c r="H10" s="1" t="s">
        <v>16</v>
      </c>
      <c r="I10" s="1" t="s">
        <v>17</v>
      </c>
      <c r="J10" s="1" t="s">
        <v>18</v>
      </c>
      <c r="K10" s="1" t="s">
        <v>19</v>
      </c>
      <c r="L10" s="1" t="s">
        <v>20</v>
      </c>
      <c r="M10" s="1" t="s">
        <v>21</v>
      </c>
      <c r="N10" s="1" t="s">
        <v>23</v>
      </c>
      <c r="O10" s="1" t="s">
        <v>24</v>
      </c>
      <c r="P10" s="1" t="s">
        <v>25</v>
      </c>
      <c r="Q10" s="1" t="s">
        <v>26</v>
      </c>
      <c r="R10" s="1" t="s">
        <v>22</v>
      </c>
    </row>
    <row r="11" spans="1:19" ht="18" customHeight="1">
      <c r="A11">
        <v>1</v>
      </c>
      <c r="B11" s="48" t="s">
        <v>168</v>
      </c>
      <c r="C11" s="77" t="s">
        <v>66</v>
      </c>
      <c r="D11" s="77" t="s">
        <v>6</v>
      </c>
      <c r="E11" s="78">
        <v>100</v>
      </c>
      <c r="F11" s="79">
        <v>40291</v>
      </c>
      <c r="G11" s="80">
        <v>67.88</v>
      </c>
      <c r="H11" s="173">
        <v>15857072051</v>
      </c>
      <c r="I11" s="174">
        <v>99.59</v>
      </c>
      <c r="J11" s="173">
        <v>98.04</v>
      </c>
      <c r="K11" s="39">
        <v>5.59</v>
      </c>
      <c r="L11" s="156">
        <f t="shared" ref="L11:L47" si="0">IF((E11*G11*0.01)&gt;28,28,(E11*G11*0.01))</f>
        <v>28</v>
      </c>
      <c r="M11" s="156">
        <f t="shared" ref="M11:M47" si="1">G11*E11+L11</f>
        <v>6816</v>
      </c>
      <c r="N11" s="156">
        <f t="shared" ref="N11:N47" si="2">I11*E11</f>
        <v>9959</v>
      </c>
      <c r="O11" s="172">
        <f t="shared" ref="O11:O47" si="3">(N11-M11)/M11</f>
        <v>0.46112089201877932</v>
      </c>
      <c r="P11" s="182">
        <f t="shared" ref="P11:P47" si="4">IF(K11&lt;=0,0,(I11/K11))</f>
        <v>17.815742397137747</v>
      </c>
      <c r="Q11" s="83" t="str">
        <f t="shared" ref="Q11:Q47" si="5">IF(H11&gt;10000000000,"Large",IF(AND(H11&gt;=5000000000,H11&lt;=10000000000),"Medium",IF(H11&lt;5000000000,"Small","N/A")))</f>
        <v>Large</v>
      </c>
      <c r="R11" s="178">
        <f t="shared" ref="R11:R47" si="6">N11/SUM($N$11:$N$41)</f>
        <v>6.5228243836130725E-2</v>
      </c>
    </row>
    <row r="12" spans="1:19" ht="15.75" customHeight="1">
      <c r="A12">
        <v>2</v>
      </c>
      <c r="B12" s="48" t="s">
        <v>52</v>
      </c>
      <c r="C12" s="77" t="s">
        <v>147</v>
      </c>
      <c r="D12" s="45" t="s">
        <v>10</v>
      </c>
      <c r="E12" s="23">
        <v>100</v>
      </c>
      <c r="F12" s="46">
        <v>40291</v>
      </c>
      <c r="G12" s="47">
        <v>18.53</v>
      </c>
      <c r="H12" s="173">
        <v>31076572682</v>
      </c>
      <c r="I12" s="174">
        <v>18.52</v>
      </c>
      <c r="J12" s="173">
        <v>18.38</v>
      </c>
      <c r="K12" s="39">
        <v>1.46</v>
      </c>
      <c r="L12" s="156">
        <f t="shared" si="0"/>
        <v>18.53</v>
      </c>
      <c r="M12" s="156">
        <f t="shared" si="1"/>
        <v>1871.53</v>
      </c>
      <c r="N12" s="156">
        <f t="shared" si="2"/>
        <v>1852</v>
      </c>
      <c r="O12" s="172">
        <f t="shared" si="3"/>
        <v>-1.0435312284601355E-2</v>
      </c>
      <c r="P12" s="182">
        <f t="shared" si="4"/>
        <v>12.684931506849315</v>
      </c>
      <c r="Q12" s="83" t="str">
        <f t="shared" si="5"/>
        <v>Large</v>
      </c>
      <c r="R12" s="178">
        <f t="shared" si="6"/>
        <v>1.2130003773924501E-2</v>
      </c>
    </row>
    <row r="13" spans="1:19" ht="15" customHeight="1">
      <c r="A13">
        <v>3</v>
      </c>
      <c r="B13" s="48" t="s">
        <v>96</v>
      </c>
      <c r="C13" s="77" t="s">
        <v>71</v>
      </c>
      <c r="D13" s="77" t="s">
        <v>10</v>
      </c>
      <c r="E13" s="78">
        <v>50</v>
      </c>
      <c r="F13" s="79">
        <v>40291</v>
      </c>
      <c r="G13" s="80">
        <v>126.99</v>
      </c>
      <c r="H13" s="173">
        <v>152508037371</v>
      </c>
      <c r="I13" s="174">
        <v>162.30000000000001</v>
      </c>
      <c r="J13" s="173">
        <v>161.69</v>
      </c>
      <c r="K13" s="39">
        <v>12.38</v>
      </c>
      <c r="L13" s="156">
        <f t="shared" si="0"/>
        <v>28</v>
      </c>
      <c r="M13" s="156">
        <f t="shared" si="1"/>
        <v>6377.5</v>
      </c>
      <c r="N13" s="156">
        <f t="shared" si="2"/>
        <v>8115.0000000000009</v>
      </c>
      <c r="O13" s="172">
        <f t="shared" si="3"/>
        <v>0.27244217953743644</v>
      </c>
      <c r="P13" s="182">
        <f t="shared" si="4"/>
        <v>13.109854604200324</v>
      </c>
      <c r="Q13" s="83" t="str">
        <f t="shared" si="5"/>
        <v>Large</v>
      </c>
      <c r="R13" s="178">
        <f t="shared" si="6"/>
        <v>5.3150637486715627E-2</v>
      </c>
    </row>
    <row r="14" spans="1:19" ht="14">
      <c r="A14">
        <v>4</v>
      </c>
      <c r="B14" s="48" t="s">
        <v>167</v>
      </c>
      <c r="C14" s="77" t="s">
        <v>154</v>
      </c>
      <c r="D14" s="77" t="s">
        <v>10</v>
      </c>
      <c r="E14" s="78">
        <v>150</v>
      </c>
      <c r="F14" s="79">
        <v>40291</v>
      </c>
      <c r="G14" s="80">
        <v>30.96</v>
      </c>
      <c r="H14" s="173">
        <v>502598539492</v>
      </c>
      <c r="I14" s="174">
        <v>65.5</v>
      </c>
      <c r="J14" s="173">
        <v>65.040000000000006</v>
      </c>
      <c r="K14" s="39">
        <v>2.13</v>
      </c>
      <c r="L14" s="156">
        <f t="shared" si="0"/>
        <v>28</v>
      </c>
      <c r="M14" s="156">
        <f t="shared" si="1"/>
        <v>4672</v>
      </c>
      <c r="N14" s="156">
        <f t="shared" si="2"/>
        <v>9825</v>
      </c>
      <c r="O14" s="172">
        <f t="shared" si="3"/>
        <v>1.1029537671232876</v>
      </c>
      <c r="P14" s="182">
        <f t="shared" si="4"/>
        <v>30.751173708920188</v>
      </c>
      <c r="Q14" s="83" t="str">
        <f t="shared" si="5"/>
        <v>Large</v>
      </c>
      <c r="R14" s="178">
        <f t="shared" si="6"/>
        <v>6.4350586975598395E-2</v>
      </c>
    </row>
    <row r="15" spans="1:19" ht="14">
      <c r="A15">
        <v>5</v>
      </c>
      <c r="B15" s="77" t="s">
        <v>105</v>
      </c>
      <c r="C15" s="77" t="s">
        <v>77</v>
      </c>
      <c r="D15" s="77" t="s">
        <v>10</v>
      </c>
      <c r="E15" s="78">
        <v>200</v>
      </c>
      <c r="F15" s="79">
        <v>40291</v>
      </c>
      <c r="G15" s="80">
        <v>14.32</v>
      </c>
      <c r="H15" s="175">
        <v>4504830000</v>
      </c>
      <c r="I15" s="176">
        <v>35.89</v>
      </c>
      <c r="J15" s="175">
        <v>36.299999999999997</v>
      </c>
      <c r="K15" s="97">
        <v>1.49</v>
      </c>
      <c r="L15" s="156">
        <f t="shared" si="0"/>
        <v>28</v>
      </c>
      <c r="M15" s="156">
        <f t="shared" si="1"/>
        <v>2892</v>
      </c>
      <c r="N15" s="156">
        <f t="shared" si="2"/>
        <v>7178</v>
      </c>
      <c r="O15" s="172">
        <f t="shared" si="3"/>
        <v>1.4820193637621024</v>
      </c>
      <c r="P15" s="182">
        <f t="shared" si="4"/>
        <v>24.087248322147651</v>
      </c>
      <c r="Q15" s="83" t="str">
        <f t="shared" si="5"/>
        <v>Small</v>
      </c>
      <c r="R15" s="178">
        <f t="shared" si="6"/>
        <v>4.7013589141052956E-2</v>
      </c>
    </row>
    <row r="16" spans="1:19" ht="14">
      <c r="A16">
        <v>6</v>
      </c>
      <c r="B16" s="77" t="s">
        <v>124</v>
      </c>
      <c r="C16" s="77" t="s">
        <v>125</v>
      </c>
      <c r="D16" s="77" t="s">
        <v>10</v>
      </c>
      <c r="E16" s="78">
        <v>50</v>
      </c>
      <c r="F16" s="79">
        <v>40291</v>
      </c>
      <c r="G16" s="80">
        <v>17.64</v>
      </c>
      <c r="H16" s="173">
        <v>44954899199</v>
      </c>
      <c r="I16" s="174">
        <v>47.67</v>
      </c>
      <c r="J16" s="173">
        <v>47</v>
      </c>
      <c r="K16" s="39">
        <v>-0.23</v>
      </c>
      <c r="L16" s="156">
        <f t="shared" si="0"/>
        <v>8.82</v>
      </c>
      <c r="M16" s="156">
        <f t="shared" si="1"/>
        <v>890.82</v>
      </c>
      <c r="N16" s="156">
        <f t="shared" si="2"/>
        <v>2383.5</v>
      </c>
      <c r="O16" s="172">
        <f t="shared" si="3"/>
        <v>1.6756247053276754</v>
      </c>
      <c r="P16" s="182">
        <f t="shared" si="4"/>
        <v>0</v>
      </c>
      <c r="Q16" s="83" t="str">
        <f t="shared" si="5"/>
        <v>Large</v>
      </c>
      <c r="R16" s="178">
        <f t="shared" si="6"/>
        <v>1.5611157664767306E-2</v>
      </c>
    </row>
    <row r="17" spans="1:18" ht="14">
      <c r="A17">
        <v>7</v>
      </c>
      <c r="B17" s="67" t="s">
        <v>163</v>
      </c>
      <c r="C17" s="81" t="s">
        <v>160</v>
      </c>
      <c r="D17" s="84" t="s">
        <v>10</v>
      </c>
      <c r="E17" s="85">
        <v>150</v>
      </c>
      <c r="F17" s="86">
        <v>40291</v>
      </c>
      <c r="G17" s="87">
        <v>49.48</v>
      </c>
      <c r="H17" s="173">
        <v>36539177458</v>
      </c>
      <c r="I17" s="174">
        <v>32.53</v>
      </c>
      <c r="J17" s="173">
        <v>33.86</v>
      </c>
      <c r="K17" s="39">
        <v>6.88</v>
      </c>
      <c r="L17" s="156">
        <f t="shared" si="0"/>
        <v>28</v>
      </c>
      <c r="M17" s="156">
        <f t="shared" si="1"/>
        <v>7449.9999999999991</v>
      </c>
      <c r="N17" s="156">
        <f t="shared" si="2"/>
        <v>4879.5</v>
      </c>
      <c r="O17" s="172">
        <f t="shared" si="3"/>
        <v>-0.3450335570469798</v>
      </c>
      <c r="P17" s="182">
        <f t="shared" si="4"/>
        <v>4.7281976744186052</v>
      </c>
      <c r="Q17" s="83" t="str">
        <f t="shared" si="5"/>
        <v>Large</v>
      </c>
      <c r="R17" s="178">
        <f t="shared" si="6"/>
        <v>3.1959154111697953E-2</v>
      </c>
    </row>
    <row r="18" spans="1:18" ht="14">
      <c r="A18">
        <v>8</v>
      </c>
      <c r="B18" s="67" t="s">
        <v>133</v>
      </c>
      <c r="C18" s="81" t="s">
        <v>161</v>
      </c>
      <c r="D18" s="84" t="s">
        <v>10</v>
      </c>
      <c r="E18" s="85">
        <v>100</v>
      </c>
      <c r="F18" s="86">
        <v>40291</v>
      </c>
      <c r="G18" s="87">
        <v>58.52</v>
      </c>
      <c r="H18" s="173">
        <v>77727935159</v>
      </c>
      <c r="I18" s="174">
        <v>52.66</v>
      </c>
      <c r="J18" s="173">
        <v>52.61</v>
      </c>
      <c r="K18" s="39">
        <v>3</v>
      </c>
      <c r="L18" s="156">
        <f t="shared" si="0"/>
        <v>28</v>
      </c>
      <c r="M18" s="156">
        <f t="shared" si="1"/>
        <v>5880</v>
      </c>
      <c r="N18" s="156">
        <f t="shared" si="2"/>
        <v>5266</v>
      </c>
      <c r="O18" s="172">
        <f t="shared" si="3"/>
        <v>-0.10442176870748299</v>
      </c>
      <c r="P18" s="182">
        <f t="shared" si="4"/>
        <v>17.553333333333331</v>
      </c>
      <c r="Q18" s="83" t="str">
        <f t="shared" si="5"/>
        <v>Large</v>
      </c>
      <c r="R18" s="178">
        <f t="shared" si="6"/>
        <v>3.4490604683308008E-2</v>
      </c>
    </row>
    <row r="19" spans="1:18" ht="14">
      <c r="A19">
        <v>9</v>
      </c>
      <c r="B19" s="48" t="s">
        <v>91</v>
      </c>
      <c r="C19" s="77" t="s">
        <v>145</v>
      </c>
      <c r="D19" s="77" t="s">
        <v>7</v>
      </c>
      <c r="E19" s="78">
        <v>100</v>
      </c>
      <c r="F19" s="79">
        <v>40291</v>
      </c>
      <c r="G19" s="80">
        <v>34.46</v>
      </c>
      <c r="H19" s="173">
        <v>17434838571</v>
      </c>
      <c r="I19" s="174">
        <v>57.5</v>
      </c>
      <c r="J19" s="173">
        <v>57.28</v>
      </c>
      <c r="K19" s="39">
        <v>1.61</v>
      </c>
      <c r="L19" s="156">
        <f t="shared" si="0"/>
        <v>28</v>
      </c>
      <c r="M19" s="156">
        <f t="shared" si="1"/>
        <v>3474</v>
      </c>
      <c r="N19" s="156">
        <f t="shared" si="2"/>
        <v>5750</v>
      </c>
      <c r="O19" s="172">
        <f t="shared" si="3"/>
        <v>0.65515256188831317</v>
      </c>
      <c r="P19" s="182">
        <f t="shared" si="4"/>
        <v>35.714285714285715</v>
      </c>
      <c r="Q19" s="83" t="str">
        <f t="shared" si="5"/>
        <v>Large</v>
      </c>
      <c r="R19" s="178">
        <f t="shared" si="6"/>
        <v>3.7660648866126287E-2</v>
      </c>
    </row>
    <row r="20" spans="1:18" ht="14">
      <c r="A20">
        <v>10</v>
      </c>
      <c r="B20" s="48" t="s">
        <v>44</v>
      </c>
      <c r="C20" s="77" t="s">
        <v>80</v>
      </c>
      <c r="D20" s="77" t="s">
        <v>7</v>
      </c>
      <c r="E20" s="78">
        <v>200</v>
      </c>
      <c r="F20" s="79">
        <v>40291</v>
      </c>
      <c r="G20" s="80">
        <v>23.15</v>
      </c>
      <c r="H20" s="173">
        <v>17224304201</v>
      </c>
      <c r="I20" s="174">
        <v>40.72</v>
      </c>
      <c r="J20" s="173">
        <v>40.479999999999997</v>
      </c>
      <c r="K20" s="39">
        <v>1.38</v>
      </c>
      <c r="L20" s="156">
        <f t="shared" si="0"/>
        <v>28</v>
      </c>
      <c r="M20" s="156">
        <f t="shared" si="1"/>
        <v>4658</v>
      </c>
      <c r="N20" s="156">
        <f t="shared" si="2"/>
        <v>8144</v>
      </c>
      <c r="O20" s="172">
        <f t="shared" si="3"/>
        <v>0.74838986689566334</v>
      </c>
      <c r="P20" s="182">
        <f t="shared" si="4"/>
        <v>29.507246376811597</v>
      </c>
      <c r="Q20" s="83" t="str">
        <f t="shared" si="5"/>
        <v>Large</v>
      </c>
      <c r="R20" s="178">
        <f t="shared" si="6"/>
        <v>5.3340578150562173E-2</v>
      </c>
    </row>
    <row r="21" spans="1:18" ht="14">
      <c r="A21">
        <v>11</v>
      </c>
      <c r="B21" s="48" t="s">
        <v>93</v>
      </c>
      <c r="C21" s="77" t="s">
        <v>70</v>
      </c>
      <c r="D21" s="77" t="s">
        <v>7</v>
      </c>
      <c r="E21" s="78">
        <v>100</v>
      </c>
      <c r="F21" s="79">
        <v>40291</v>
      </c>
      <c r="G21" s="80">
        <v>70.63</v>
      </c>
      <c r="H21" s="173">
        <v>33323671651</v>
      </c>
      <c r="I21" s="174">
        <v>57.88</v>
      </c>
      <c r="J21" s="173">
        <v>57.84</v>
      </c>
      <c r="K21" s="39">
        <v>2.7</v>
      </c>
      <c r="L21" s="156">
        <f t="shared" si="0"/>
        <v>28</v>
      </c>
      <c r="M21" s="156">
        <f t="shared" si="1"/>
        <v>7091</v>
      </c>
      <c r="N21" s="156">
        <f t="shared" si="2"/>
        <v>5788</v>
      </c>
      <c r="O21" s="172">
        <f t="shared" si="3"/>
        <v>-0.18375405443519954</v>
      </c>
      <c r="P21" s="182">
        <f t="shared" si="4"/>
        <v>21.437037037037037</v>
      </c>
      <c r="Q21" s="83" t="str">
        <f t="shared" si="5"/>
        <v>Large</v>
      </c>
      <c r="R21" s="178">
        <f t="shared" si="6"/>
        <v>3.7909536632545905E-2</v>
      </c>
    </row>
    <row r="22" spans="1:18" ht="14.25" customHeight="1">
      <c r="A22">
        <v>12</v>
      </c>
      <c r="B22" s="48" t="s">
        <v>95</v>
      </c>
      <c r="C22" s="77" t="s">
        <v>148</v>
      </c>
      <c r="D22" s="77" t="s">
        <v>7</v>
      </c>
      <c r="E22" s="78">
        <v>100</v>
      </c>
      <c r="F22" s="79">
        <v>40291</v>
      </c>
      <c r="G22" s="80">
        <v>48.72</v>
      </c>
      <c r="H22" s="173">
        <v>23104464730</v>
      </c>
      <c r="I22" s="174">
        <v>108.8</v>
      </c>
      <c r="J22" s="173">
        <v>108.63</v>
      </c>
      <c r="K22" s="39">
        <v>3.34</v>
      </c>
      <c r="L22" s="156">
        <f t="shared" si="0"/>
        <v>28</v>
      </c>
      <c r="M22" s="156">
        <f t="shared" si="1"/>
        <v>4900</v>
      </c>
      <c r="N22" s="156">
        <f t="shared" si="2"/>
        <v>10880</v>
      </c>
      <c r="O22" s="172">
        <f t="shared" si="3"/>
        <v>1.2204081632653061</v>
      </c>
      <c r="P22" s="182">
        <f t="shared" si="4"/>
        <v>32.574850299401199</v>
      </c>
      <c r="Q22" s="83" t="str">
        <f t="shared" si="5"/>
        <v>Large</v>
      </c>
      <c r="R22" s="178">
        <f t="shared" si="6"/>
        <v>7.1260497332774606E-2</v>
      </c>
    </row>
    <row r="23" spans="1:18" ht="14">
      <c r="A23">
        <v>13</v>
      </c>
      <c r="B23" s="67" t="s">
        <v>164</v>
      </c>
      <c r="C23" s="81" t="s">
        <v>162</v>
      </c>
      <c r="D23" s="84" t="s">
        <v>7</v>
      </c>
      <c r="E23" s="85">
        <v>100</v>
      </c>
      <c r="F23" s="88">
        <v>40291</v>
      </c>
      <c r="G23" s="89">
        <v>25.55</v>
      </c>
      <c r="H23" s="173">
        <v>11121087916</v>
      </c>
      <c r="I23" s="174">
        <v>35.5</v>
      </c>
      <c r="J23" s="173">
        <v>34.909999999999997</v>
      </c>
      <c r="K23" s="39">
        <v>1.38</v>
      </c>
      <c r="L23" s="156">
        <f t="shared" si="0"/>
        <v>25.55</v>
      </c>
      <c r="M23" s="156">
        <f t="shared" si="1"/>
        <v>2580.5500000000002</v>
      </c>
      <c r="N23" s="156">
        <f t="shared" si="2"/>
        <v>3550</v>
      </c>
      <c r="O23" s="172">
        <f t="shared" si="3"/>
        <v>0.37567572804247146</v>
      </c>
      <c r="P23" s="182">
        <f t="shared" si="4"/>
        <v>25.724637681159422</v>
      </c>
      <c r="Q23" s="83" t="str">
        <f t="shared" si="5"/>
        <v>Large</v>
      </c>
      <c r="R23" s="178">
        <f t="shared" si="6"/>
        <v>2.3251357126043187E-2</v>
      </c>
    </row>
    <row r="24" spans="1:18">
      <c r="A24">
        <v>14</v>
      </c>
      <c r="B24" s="45" t="s">
        <v>171</v>
      </c>
      <c r="C24" s="45" t="s">
        <v>174</v>
      </c>
      <c r="D24" s="45" t="s">
        <v>12</v>
      </c>
      <c r="E24" s="45">
        <v>100</v>
      </c>
      <c r="F24" s="120">
        <v>40291</v>
      </c>
      <c r="G24" s="119">
        <v>28.53</v>
      </c>
      <c r="H24" s="175">
        <v>75323415209</v>
      </c>
      <c r="I24" s="176">
        <v>43.98</v>
      </c>
      <c r="J24" s="175">
        <v>43.59</v>
      </c>
      <c r="K24" s="97">
        <v>0.94</v>
      </c>
      <c r="L24" s="156">
        <f t="shared" si="0"/>
        <v>28</v>
      </c>
      <c r="M24" s="156">
        <f t="shared" si="1"/>
        <v>2881</v>
      </c>
      <c r="N24" s="156">
        <f t="shared" si="2"/>
        <v>4398</v>
      </c>
      <c r="O24" s="172">
        <f t="shared" si="3"/>
        <v>0.5265532801110725</v>
      </c>
      <c r="P24" s="182">
        <f t="shared" si="4"/>
        <v>46.787234042553187</v>
      </c>
      <c r="Q24" s="83" t="str">
        <f t="shared" si="5"/>
        <v>Large</v>
      </c>
      <c r="R24" s="178">
        <f t="shared" si="6"/>
        <v>2.8805484124038855E-2</v>
      </c>
    </row>
    <row r="25" spans="1:18" ht="14">
      <c r="A25">
        <v>15</v>
      </c>
      <c r="B25" s="48" t="s">
        <v>177</v>
      </c>
      <c r="C25" s="77" t="s">
        <v>144</v>
      </c>
      <c r="D25" s="45" t="s">
        <v>12</v>
      </c>
      <c r="E25" s="78">
        <v>100</v>
      </c>
      <c r="F25" s="79">
        <v>40291</v>
      </c>
      <c r="G25" s="80">
        <v>105.48</v>
      </c>
      <c r="H25" s="175">
        <v>123606162095</v>
      </c>
      <c r="I25" s="176">
        <v>162.72</v>
      </c>
      <c r="J25" s="175">
        <v>164.4</v>
      </c>
      <c r="K25" s="97">
        <v>9.06</v>
      </c>
      <c r="L25" s="156">
        <f t="shared" si="0"/>
        <v>28</v>
      </c>
      <c r="M25" s="156">
        <f t="shared" si="1"/>
        <v>10576</v>
      </c>
      <c r="N25" s="156">
        <f t="shared" si="2"/>
        <v>16272</v>
      </c>
      <c r="O25" s="172">
        <f t="shared" si="3"/>
        <v>0.53857791225416041</v>
      </c>
      <c r="P25" s="182">
        <f t="shared" si="4"/>
        <v>17.960264900662249</v>
      </c>
      <c r="Q25" s="83" t="str">
        <f t="shared" si="5"/>
        <v>Large</v>
      </c>
      <c r="R25" s="178">
        <f t="shared" si="6"/>
        <v>0.10657636145210556</v>
      </c>
    </row>
    <row r="26" spans="1:18" ht="14">
      <c r="A26">
        <v>16</v>
      </c>
      <c r="B26" s="48" t="s">
        <v>173</v>
      </c>
      <c r="C26" s="77" t="s">
        <v>175</v>
      </c>
      <c r="D26" s="77" t="s">
        <v>12</v>
      </c>
      <c r="E26" s="78">
        <v>150</v>
      </c>
      <c r="F26" s="79">
        <v>40291</v>
      </c>
      <c r="G26" s="80">
        <v>20.14</v>
      </c>
      <c r="H26" s="173">
        <v>109621013986</v>
      </c>
      <c r="I26" s="174">
        <v>40.71</v>
      </c>
      <c r="J26" s="173">
        <v>40.840000000000003</v>
      </c>
      <c r="K26" s="39">
        <v>0.37</v>
      </c>
      <c r="L26" s="156">
        <f t="shared" si="0"/>
        <v>28</v>
      </c>
      <c r="M26" s="156">
        <f t="shared" si="1"/>
        <v>3049</v>
      </c>
      <c r="N26" s="156">
        <f t="shared" si="2"/>
        <v>6106.5</v>
      </c>
      <c r="O26" s="172">
        <f t="shared" si="3"/>
        <v>1.002787799278452</v>
      </c>
      <c r="P26" s="182">
        <f t="shared" si="4"/>
        <v>110.02702702702703</v>
      </c>
      <c r="Q26" s="83" t="str">
        <f t="shared" si="5"/>
        <v>Large</v>
      </c>
      <c r="R26" s="178">
        <f t="shared" si="6"/>
        <v>3.9995609095826119E-2</v>
      </c>
    </row>
    <row r="27" spans="1:18" ht="14">
      <c r="A27">
        <v>17</v>
      </c>
      <c r="B27" s="48" t="s">
        <v>99</v>
      </c>
      <c r="C27" s="77" t="s">
        <v>73</v>
      </c>
      <c r="D27" s="77" t="s">
        <v>12</v>
      </c>
      <c r="E27" s="78">
        <v>88</v>
      </c>
      <c r="F27" s="79">
        <v>40291</v>
      </c>
      <c r="G27" s="80">
        <v>65.040000000000006</v>
      </c>
      <c r="H27" s="173">
        <v>329020961069</v>
      </c>
      <c r="I27" s="174">
        <v>121.87</v>
      </c>
      <c r="J27" s="173">
        <v>121.37</v>
      </c>
      <c r="K27" s="39">
        <v>5.93</v>
      </c>
      <c r="L27" s="156">
        <f t="shared" si="0"/>
        <v>28</v>
      </c>
      <c r="M27" s="156">
        <f t="shared" si="1"/>
        <v>5751.52</v>
      </c>
      <c r="N27" s="156">
        <f t="shared" si="2"/>
        <v>10724.560000000001</v>
      </c>
      <c r="O27" s="172">
        <f t="shared" si="3"/>
        <v>0.86464795393217797</v>
      </c>
      <c r="P27" s="182">
        <f t="shared" si="4"/>
        <v>20.551433389544691</v>
      </c>
      <c r="Q27" s="83" t="str">
        <f t="shared" si="5"/>
        <v>Large</v>
      </c>
      <c r="R27" s="178">
        <f t="shared" si="6"/>
        <v>7.024241537455711E-2</v>
      </c>
    </row>
    <row r="28" spans="1:18" ht="14">
      <c r="A28">
        <v>18</v>
      </c>
      <c r="B28" s="48" t="s">
        <v>122</v>
      </c>
      <c r="C28" s="77" t="s">
        <v>151</v>
      </c>
      <c r="D28" s="77" t="s">
        <v>12</v>
      </c>
      <c r="E28" s="78">
        <v>50</v>
      </c>
      <c r="F28" s="79">
        <v>40291</v>
      </c>
      <c r="G28" s="80">
        <v>35.46</v>
      </c>
      <c r="H28" s="173">
        <v>89250333937</v>
      </c>
      <c r="I28" s="174">
        <v>81.94</v>
      </c>
      <c r="J28" s="173">
        <v>80.89</v>
      </c>
      <c r="K28" s="39">
        <v>2.58</v>
      </c>
      <c r="L28" s="156">
        <f t="shared" si="0"/>
        <v>17.73</v>
      </c>
      <c r="M28" s="156">
        <f t="shared" si="1"/>
        <v>1790.73</v>
      </c>
      <c r="N28" s="156">
        <f t="shared" si="2"/>
        <v>4097</v>
      </c>
      <c r="O28" s="172">
        <f t="shared" si="3"/>
        <v>1.2878937639956889</v>
      </c>
      <c r="P28" s="182">
        <f t="shared" si="4"/>
        <v>31.759689922480618</v>
      </c>
      <c r="Q28" s="83" t="str">
        <f t="shared" si="5"/>
        <v>Large</v>
      </c>
      <c r="R28" s="178">
        <f t="shared" si="6"/>
        <v>2.6834031026872939E-2</v>
      </c>
    </row>
    <row r="29" spans="1:18" ht="14">
      <c r="A29">
        <v>19</v>
      </c>
      <c r="B29" s="48" t="s">
        <v>102</v>
      </c>
      <c r="C29" s="77" t="s">
        <v>74</v>
      </c>
      <c r="D29" s="77" t="s">
        <v>14</v>
      </c>
      <c r="E29" s="78">
        <v>240</v>
      </c>
      <c r="F29" s="79">
        <v>40291</v>
      </c>
      <c r="G29" s="80">
        <v>10.48</v>
      </c>
      <c r="H29" s="173">
        <v>1172951869</v>
      </c>
      <c r="I29" s="174">
        <v>8.7200000000000006</v>
      </c>
      <c r="J29" s="173">
        <v>8.6999999999999993</v>
      </c>
      <c r="K29" s="39">
        <v>-2.54</v>
      </c>
      <c r="L29" s="156">
        <f t="shared" si="0"/>
        <v>25.152000000000005</v>
      </c>
      <c r="M29" s="156">
        <f t="shared" si="1"/>
        <v>2540.3520000000003</v>
      </c>
      <c r="N29" s="156">
        <f t="shared" si="2"/>
        <v>2092.8000000000002</v>
      </c>
      <c r="O29" s="172">
        <f t="shared" si="3"/>
        <v>-0.17617715970070291</v>
      </c>
      <c r="P29" s="182">
        <f t="shared" si="4"/>
        <v>0</v>
      </c>
      <c r="Q29" s="83" t="str">
        <f t="shared" si="5"/>
        <v>Small</v>
      </c>
      <c r="R29" s="178">
        <f t="shared" si="6"/>
        <v>1.3707166251657235E-2</v>
      </c>
    </row>
    <row r="30" spans="1:18" ht="14">
      <c r="A30">
        <v>20</v>
      </c>
      <c r="B30" s="48" t="s">
        <v>103</v>
      </c>
      <c r="C30" s="77" t="s">
        <v>75</v>
      </c>
      <c r="D30" s="77" t="s">
        <v>14</v>
      </c>
      <c r="E30" s="78">
        <v>250</v>
      </c>
      <c r="F30" s="79">
        <v>40291</v>
      </c>
      <c r="G30" s="80">
        <v>19.21</v>
      </c>
      <c r="H30" s="173">
        <v>34041939137</v>
      </c>
      <c r="I30" s="174">
        <v>17.25</v>
      </c>
      <c r="J30" s="173">
        <v>16.96</v>
      </c>
      <c r="K30" s="39">
        <v>1.41</v>
      </c>
      <c r="L30" s="156">
        <f t="shared" si="0"/>
        <v>28</v>
      </c>
      <c r="M30" s="156">
        <f t="shared" si="1"/>
        <v>4830.5</v>
      </c>
      <c r="N30" s="156">
        <f t="shared" si="2"/>
        <v>4312.5</v>
      </c>
      <c r="O30" s="172">
        <f t="shared" si="3"/>
        <v>-0.10723527585136114</v>
      </c>
      <c r="P30" s="182">
        <f t="shared" si="4"/>
        <v>12.23404255319149</v>
      </c>
      <c r="Q30" s="83" t="str">
        <f t="shared" si="5"/>
        <v>Large</v>
      </c>
      <c r="R30" s="178">
        <f t="shared" si="6"/>
        <v>2.8245486649594715E-2</v>
      </c>
    </row>
    <row r="31" spans="1:18" ht="14">
      <c r="A31">
        <v>21</v>
      </c>
      <c r="B31" s="77" t="s">
        <v>107</v>
      </c>
      <c r="C31" s="77" t="s">
        <v>78</v>
      </c>
      <c r="D31" s="77" t="s">
        <v>14</v>
      </c>
      <c r="E31" s="78">
        <v>10</v>
      </c>
      <c r="F31" s="79">
        <v>40291</v>
      </c>
      <c r="G31" s="80">
        <v>20.86</v>
      </c>
      <c r="H31" s="173">
        <v>22579661595</v>
      </c>
      <c r="I31" s="174">
        <v>39.409999999999997</v>
      </c>
      <c r="J31" s="173">
        <v>38.869999999999997</v>
      </c>
      <c r="K31" s="39">
        <v>1.76</v>
      </c>
      <c r="L31" s="156">
        <f t="shared" si="0"/>
        <v>2.0859999999999999</v>
      </c>
      <c r="M31" s="156">
        <f t="shared" si="1"/>
        <v>210.68600000000001</v>
      </c>
      <c r="N31" s="156">
        <f t="shared" si="2"/>
        <v>394.09999999999997</v>
      </c>
      <c r="O31" s="172">
        <f t="shared" si="3"/>
        <v>0.87055618313509175</v>
      </c>
      <c r="P31" s="182">
        <f t="shared" si="4"/>
        <v>22.392045454545453</v>
      </c>
      <c r="Q31" s="83" t="str">
        <f t="shared" si="5"/>
        <v>Large</v>
      </c>
      <c r="R31" s="178">
        <f t="shared" si="6"/>
        <v>2.5812281248939772E-3</v>
      </c>
    </row>
    <row r="32" spans="1:18" ht="14">
      <c r="A32">
        <v>22</v>
      </c>
      <c r="B32" s="77" t="s">
        <v>110</v>
      </c>
      <c r="C32" s="77" t="s">
        <v>79</v>
      </c>
      <c r="D32" s="77" t="s">
        <v>15</v>
      </c>
      <c r="E32" s="78">
        <v>50</v>
      </c>
      <c r="F32" s="79">
        <v>40291</v>
      </c>
      <c r="G32" s="80">
        <v>59.24</v>
      </c>
      <c r="H32" s="173">
        <v>4953343427</v>
      </c>
      <c r="I32" s="174">
        <v>30.51</v>
      </c>
      <c r="J32" s="173">
        <v>28.42</v>
      </c>
      <c r="K32" s="39">
        <v>-2.81</v>
      </c>
      <c r="L32" s="156">
        <f t="shared" si="0"/>
        <v>28</v>
      </c>
      <c r="M32" s="156">
        <f t="shared" si="1"/>
        <v>2990</v>
      </c>
      <c r="N32" s="156">
        <f t="shared" si="2"/>
        <v>1525.5</v>
      </c>
      <c r="O32" s="172">
        <f t="shared" si="3"/>
        <v>-0.4897993311036789</v>
      </c>
      <c r="P32" s="182">
        <f t="shared" si="4"/>
        <v>0</v>
      </c>
      <c r="Q32" s="83" t="str">
        <f t="shared" si="5"/>
        <v>Small</v>
      </c>
      <c r="R32" s="178">
        <f t="shared" si="6"/>
        <v>9.9915338861348967E-3</v>
      </c>
    </row>
    <row r="33" spans="1:18" ht="14">
      <c r="A33">
        <v>23</v>
      </c>
      <c r="B33" s="43" t="s">
        <v>94</v>
      </c>
      <c r="C33" s="44" t="s">
        <v>146</v>
      </c>
      <c r="D33" s="77" t="s">
        <v>9</v>
      </c>
      <c r="E33" s="78">
        <v>30</v>
      </c>
      <c r="F33" s="79">
        <v>40291</v>
      </c>
      <c r="G33" s="80">
        <v>40.53</v>
      </c>
      <c r="H33" s="173">
        <v>11939394310</v>
      </c>
      <c r="I33" s="174">
        <v>96.01</v>
      </c>
      <c r="J33" s="173">
        <v>95.51</v>
      </c>
      <c r="K33" s="39">
        <v>4.34</v>
      </c>
      <c r="L33" s="156">
        <f t="shared" si="0"/>
        <v>12.159000000000001</v>
      </c>
      <c r="M33" s="156">
        <f t="shared" si="1"/>
        <v>1228.0590000000002</v>
      </c>
      <c r="N33" s="156">
        <f t="shared" si="2"/>
        <v>2880.3</v>
      </c>
      <c r="O33" s="172">
        <f t="shared" si="3"/>
        <v>1.3454084860743658</v>
      </c>
      <c r="P33" s="182">
        <f t="shared" si="4"/>
        <v>22.122119815668206</v>
      </c>
      <c r="Q33" s="83" t="str">
        <f t="shared" si="5"/>
        <v>Large</v>
      </c>
      <c r="R33" s="178">
        <f t="shared" si="6"/>
        <v>1.8865037726800617E-2</v>
      </c>
    </row>
    <row r="34" spans="1:18" ht="14">
      <c r="A34">
        <v>24</v>
      </c>
      <c r="B34" s="48" t="s">
        <v>101</v>
      </c>
      <c r="C34" s="77" t="s">
        <v>153</v>
      </c>
      <c r="D34" s="77" t="s">
        <v>9</v>
      </c>
      <c r="E34" s="78">
        <v>50</v>
      </c>
      <c r="F34" s="79">
        <v>40291</v>
      </c>
      <c r="G34" s="80">
        <v>23.54</v>
      </c>
      <c r="H34" s="173">
        <v>8600521944</v>
      </c>
      <c r="I34" s="174">
        <v>25.21</v>
      </c>
      <c r="J34" s="173">
        <v>25.11</v>
      </c>
      <c r="K34" s="39">
        <v>0.92</v>
      </c>
      <c r="L34" s="156">
        <f t="shared" si="0"/>
        <v>11.77</v>
      </c>
      <c r="M34" s="156">
        <f t="shared" si="1"/>
        <v>1188.77</v>
      </c>
      <c r="N34" s="156">
        <f t="shared" si="2"/>
        <v>1260.5</v>
      </c>
      <c r="O34" s="172">
        <f t="shared" si="3"/>
        <v>6.0339678827695871E-2</v>
      </c>
      <c r="P34" s="182">
        <f t="shared" si="4"/>
        <v>27.402173913043477</v>
      </c>
      <c r="Q34" s="83" t="str">
        <f t="shared" si="5"/>
        <v>Medium</v>
      </c>
      <c r="R34" s="178">
        <f t="shared" si="6"/>
        <v>8.2558691992612506E-3</v>
      </c>
    </row>
    <row r="35" spans="1:18" ht="14">
      <c r="A35">
        <v>25</v>
      </c>
      <c r="B35" s="48" t="s">
        <v>97</v>
      </c>
      <c r="C35" s="77" t="s">
        <v>149</v>
      </c>
      <c r="D35" s="77" t="s">
        <v>11</v>
      </c>
      <c r="E35" s="78">
        <v>100</v>
      </c>
      <c r="F35" s="79">
        <v>40291</v>
      </c>
      <c r="G35" s="80">
        <v>56.48</v>
      </c>
      <c r="H35" s="173">
        <v>3457914174</v>
      </c>
      <c r="I35" s="174">
        <v>39.96</v>
      </c>
      <c r="J35" s="173">
        <v>39</v>
      </c>
      <c r="K35" s="39">
        <v>2.0699999999999998</v>
      </c>
      <c r="L35" s="156">
        <f t="shared" si="0"/>
        <v>28</v>
      </c>
      <c r="M35" s="156">
        <f t="shared" si="1"/>
        <v>5676</v>
      </c>
      <c r="N35" s="156">
        <f t="shared" si="2"/>
        <v>3996</v>
      </c>
      <c r="O35" s="172">
        <f t="shared" si="3"/>
        <v>-0.29598308668076112</v>
      </c>
      <c r="P35" s="182">
        <f t="shared" si="4"/>
        <v>19.304347826086957</v>
      </c>
      <c r="Q35" s="83" t="str">
        <f t="shared" si="5"/>
        <v>Small</v>
      </c>
      <c r="R35" s="178">
        <f t="shared" si="6"/>
        <v>2.6172513542441853E-2</v>
      </c>
    </row>
    <row r="36" spans="1:18" ht="14">
      <c r="A36">
        <v>26</v>
      </c>
      <c r="B36" s="48" t="s">
        <v>98</v>
      </c>
      <c r="C36" s="77" t="s">
        <v>72</v>
      </c>
      <c r="D36" s="77" t="s">
        <v>11</v>
      </c>
      <c r="E36" s="78">
        <v>100</v>
      </c>
      <c r="F36" s="79">
        <v>40291</v>
      </c>
      <c r="G36" s="80">
        <v>34.229999999999997</v>
      </c>
      <c r="H36" s="173">
        <v>38749953547</v>
      </c>
      <c r="I36" s="174">
        <v>41.73</v>
      </c>
      <c r="J36" s="173">
        <v>41.28</v>
      </c>
      <c r="K36" s="39">
        <v>-1.64</v>
      </c>
      <c r="L36" s="156">
        <f t="shared" si="0"/>
        <v>28</v>
      </c>
      <c r="M36" s="156">
        <f t="shared" si="1"/>
        <v>3450.9999999999995</v>
      </c>
      <c r="N36" s="156">
        <f t="shared" si="2"/>
        <v>4173</v>
      </c>
      <c r="O36" s="172">
        <f t="shared" si="3"/>
        <v>0.20921472037090713</v>
      </c>
      <c r="P36" s="182">
        <f t="shared" si="4"/>
        <v>0</v>
      </c>
      <c r="Q36" s="83" t="str">
        <f t="shared" si="5"/>
        <v>Large</v>
      </c>
      <c r="R36" s="178">
        <f t="shared" si="6"/>
        <v>2.7331806559712173E-2</v>
      </c>
    </row>
    <row r="37" spans="1:18" ht="14">
      <c r="A37">
        <v>27</v>
      </c>
      <c r="B37" s="77" t="s">
        <v>50</v>
      </c>
      <c r="C37" s="77" t="s">
        <v>158</v>
      </c>
      <c r="D37" s="77" t="s">
        <v>11</v>
      </c>
      <c r="E37" s="78">
        <v>50</v>
      </c>
      <c r="F37" s="79">
        <v>40291</v>
      </c>
      <c r="G37" s="80">
        <v>13.11</v>
      </c>
      <c r="H37" s="173">
        <v>50166800</v>
      </c>
      <c r="I37" s="174">
        <v>2.74</v>
      </c>
      <c r="J37" s="173">
        <v>2.76</v>
      </c>
      <c r="K37" s="39">
        <v>-89.3</v>
      </c>
      <c r="L37" s="156">
        <f t="shared" si="0"/>
        <v>6.5549999999999997</v>
      </c>
      <c r="M37" s="156">
        <f t="shared" si="1"/>
        <v>662.05499999999995</v>
      </c>
      <c r="N37" s="156">
        <f t="shared" si="2"/>
        <v>137</v>
      </c>
      <c r="O37" s="172">
        <f t="shared" si="3"/>
        <v>-0.7930685517064292</v>
      </c>
      <c r="P37" s="182">
        <f t="shared" si="4"/>
        <v>0</v>
      </c>
      <c r="Q37" s="83" t="str">
        <f t="shared" si="5"/>
        <v>Small</v>
      </c>
      <c r="R37" s="178">
        <f t="shared" si="6"/>
        <v>8.9730589472335675E-4</v>
      </c>
    </row>
    <row r="38" spans="1:18" ht="14">
      <c r="A38">
        <v>28</v>
      </c>
      <c r="B38" s="48" t="s">
        <v>92</v>
      </c>
      <c r="C38" s="77" t="s">
        <v>69</v>
      </c>
      <c r="D38" s="77" t="s">
        <v>8</v>
      </c>
      <c r="E38" s="78">
        <v>100</v>
      </c>
      <c r="F38" s="79">
        <v>40291</v>
      </c>
      <c r="G38" s="80">
        <v>69.41</v>
      </c>
      <c r="H38" s="173">
        <v>20590550000</v>
      </c>
      <c r="I38" s="174">
        <v>39.700000000000003</v>
      </c>
      <c r="J38" s="173">
        <v>39.25</v>
      </c>
      <c r="K38" s="39">
        <v>-6.52</v>
      </c>
      <c r="L38" s="156">
        <f t="shared" si="0"/>
        <v>28</v>
      </c>
      <c r="M38" s="156">
        <f t="shared" si="1"/>
        <v>6969</v>
      </c>
      <c r="N38" s="156">
        <f t="shared" si="2"/>
        <v>3970.0000000000005</v>
      </c>
      <c r="O38" s="172">
        <f t="shared" si="3"/>
        <v>-0.43033433778160418</v>
      </c>
      <c r="P38" s="182">
        <f t="shared" si="4"/>
        <v>0</v>
      </c>
      <c r="Q38" s="83" t="str">
        <f t="shared" si="5"/>
        <v>Large</v>
      </c>
      <c r="R38" s="178">
        <f t="shared" si="6"/>
        <v>2.6002221912786328E-2</v>
      </c>
    </row>
    <row r="39" spans="1:18" ht="14">
      <c r="A39">
        <v>29</v>
      </c>
      <c r="B39" s="77" t="s">
        <v>104</v>
      </c>
      <c r="C39" s="77" t="s">
        <v>76</v>
      </c>
      <c r="D39" s="77" t="s">
        <v>8</v>
      </c>
      <c r="E39" s="78">
        <v>50</v>
      </c>
      <c r="F39" s="79">
        <v>40291</v>
      </c>
      <c r="G39" s="80">
        <v>22.61</v>
      </c>
      <c r="H39" s="173">
        <v>3412743063</v>
      </c>
      <c r="I39" s="174">
        <v>11.77</v>
      </c>
      <c r="J39" s="173">
        <v>11.96</v>
      </c>
      <c r="K39" s="39">
        <v>-3.64</v>
      </c>
      <c r="L39" s="156">
        <f t="shared" si="0"/>
        <v>11.305</v>
      </c>
      <c r="M39" s="156">
        <f t="shared" si="1"/>
        <v>1141.8050000000001</v>
      </c>
      <c r="N39" s="156">
        <f t="shared" si="2"/>
        <v>588.5</v>
      </c>
      <c r="O39" s="172">
        <f t="shared" si="3"/>
        <v>-0.48458799882641962</v>
      </c>
      <c r="P39" s="182">
        <f t="shared" si="4"/>
        <v>0</v>
      </c>
      <c r="Q39" s="83" t="str">
        <f t="shared" si="5"/>
        <v>Small</v>
      </c>
      <c r="R39" s="178">
        <f t="shared" si="6"/>
        <v>3.8544855404722298E-3</v>
      </c>
    </row>
    <row r="40" spans="1:18" ht="14">
      <c r="A40">
        <v>30</v>
      </c>
      <c r="B40" s="77" t="s">
        <v>106</v>
      </c>
      <c r="C40" s="77" t="s">
        <v>155</v>
      </c>
      <c r="D40" s="77" t="s">
        <v>8</v>
      </c>
      <c r="E40" s="78">
        <v>100</v>
      </c>
      <c r="F40" s="79">
        <v>40291</v>
      </c>
      <c r="G40" s="80">
        <v>43.63</v>
      </c>
      <c r="H40" s="173">
        <v>1279686860</v>
      </c>
      <c r="I40" s="174">
        <v>5.31</v>
      </c>
      <c r="J40" s="173">
        <v>5.23</v>
      </c>
      <c r="K40" s="39">
        <v>-3.82</v>
      </c>
      <c r="L40" s="156">
        <f t="shared" si="0"/>
        <v>28</v>
      </c>
      <c r="M40" s="156">
        <f t="shared" si="1"/>
        <v>4391</v>
      </c>
      <c r="N40" s="156">
        <f t="shared" si="2"/>
        <v>531</v>
      </c>
      <c r="O40" s="172">
        <f t="shared" si="3"/>
        <v>-0.87907082669095882</v>
      </c>
      <c r="P40" s="182">
        <f t="shared" si="4"/>
        <v>0</v>
      </c>
      <c r="Q40" s="83" t="str">
        <f t="shared" si="5"/>
        <v>Small</v>
      </c>
      <c r="R40" s="178">
        <f t="shared" si="6"/>
        <v>3.4778790518109667E-3</v>
      </c>
    </row>
    <row r="41" spans="1:18" ht="14">
      <c r="A41">
        <v>31</v>
      </c>
      <c r="B41" s="66" t="s">
        <v>45</v>
      </c>
      <c r="C41" s="81" t="s">
        <v>81</v>
      </c>
      <c r="D41" s="84" t="s">
        <v>8</v>
      </c>
      <c r="E41" s="85">
        <v>100</v>
      </c>
      <c r="F41" s="86">
        <v>40291</v>
      </c>
      <c r="G41" s="87">
        <v>85.61</v>
      </c>
      <c r="H41" s="175">
        <v>2222148540</v>
      </c>
      <c r="I41" s="176">
        <v>16.5</v>
      </c>
      <c r="J41" s="175">
        <v>16.2</v>
      </c>
      <c r="K41" s="97">
        <v>-5.35</v>
      </c>
      <c r="L41" s="156">
        <f t="shared" si="0"/>
        <v>28</v>
      </c>
      <c r="M41" s="156">
        <f t="shared" si="1"/>
        <v>8589</v>
      </c>
      <c r="N41" s="156">
        <f t="shared" si="2"/>
        <v>1650</v>
      </c>
      <c r="O41" s="172">
        <f t="shared" si="3"/>
        <v>-0.80789381767376878</v>
      </c>
      <c r="P41" s="182">
        <f t="shared" si="4"/>
        <v>0</v>
      </c>
      <c r="Q41" s="83" t="str">
        <f t="shared" si="5"/>
        <v>Small</v>
      </c>
      <c r="R41" s="178">
        <f t="shared" si="6"/>
        <v>1.0806968805062326E-2</v>
      </c>
    </row>
    <row r="42" spans="1:18" s="3" customFormat="1" ht="12.75" customHeight="1">
      <c r="A42" s="3">
        <v>32</v>
      </c>
      <c r="B42" s="48" t="s">
        <v>100</v>
      </c>
      <c r="C42" s="77" t="s">
        <v>150</v>
      </c>
      <c r="D42" s="77" t="s">
        <v>13</v>
      </c>
      <c r="E42" s="78">
        <v>200</v>
      </c>
      <c r="F42" s="79">
        <v>40291</v>
      </c>
      <c r="G42" s="80">
        <v>49.48</v>
      </c>
      <c r="H42" s="173">
        <v>6752919598</v>
      </c>
      <c r="I42" s="174">
        <v>40.76</v>
      </c>
      <c r="J42" s="173">
        <v>39.18</v>
      </c>
      <c r="K42" s="39">
        <v>3.11</v>
      </c>
      <c r="L42" s="156">
        <f t="shared" si="0"/>
        <v>28</v>
      </c>
      <c r="M42" s="156">
        <f t="shared" si="1"/>
        <v>9924</v>
      </c>
      <c r="N42" s="156">
        <f t="shared" si="2"/>
        <v>8152</v>
      </c>
      <c r="O42" s="172">
        <f t="shared" si="3"/>
        <v>-0.17855703345425231</v>
      </c>
      <c r="P42" s="182">
        <f t="shared" si="4"/>
        <v>13.106109324758842</v>
      </c>
      <c r="Q42" s="83" t="str">
        <f t="shared" si="5"/>
        <v>Medium</v>
      </c>
      <c r="R42" s="178">
        <f t="shared" si="6"/>
        <v>5.3392975575071562E-2</v>
      </c>
    </row>
    <row r="43" spans="1:18" s="3" customFormat="1" ht="12.75" customHeight="1">
      <c r="A43" s="3">
        <v>33</v>
      </c>
      <c r="B43" s="48" t="s">
        <v>165</v>
      </c>
      <c r="C43" s="77" t="s">
        <v>152</v>
      </c>
      <c r="D43" s="77" t="s">
        <v>13</v>
      </c>
      <c r="E43" s="78">
        <v>150</v>
      </c>
      <c r="F43" s="79">
        <v>40291</v>
      </c>
      <c r="G43" s="80">
        <v>29.48</v>
      </c>
      <c r="H43" s="173">
        <v>8877882353</v>
      </c>
      <c r="I43" s="174">
        <v>30.01</v>
      </c>
      <c r="J43" s="173">
        <v>29.09</v>
      </c>
      <c r="K43" s="39">
        <v>1.99</v>
      </c>
      <c r="L43" s="156">
        <f t="shared" si="0"/>
        <v>28</v>
      </c>
      <c r="M43" s="156">
        <f t="shared" si="1"/>
        <v>4450</v>
      </c>
      <c r="N43" s="156">
        <f t="shared" si="2"/>
        <v>4501.5</v>
      </c>
      <c r="O43" s="172">
        <f t="shared" si="3"/>
        <v>1.1573033707865169E-2</v>
      </c>
      <c r="P43" s="182">
        <f t="shared" si="4"/>
        <v>15.080402010050252</v>
      </c>
      <c r="Q43" s="83" t="str">
        <f t="shared" si="5"/>
        <v>Medium</v>
      </c>
      <c r="R43" s="178">
        <f t="shared" si="6"/>
        <v>2.9483375803629128E-2</v>
      </c>
    </row>
    <row r="44" spans="1:18" s="3" customFormat="1" ht="12.75" customHeight="1">
      <c r="A44" s="3">
        <v>34</v>
      </c>
      <c r="B44" s="77" t="s">
        <v>108</v>
      </c>
      <c r="C44" s="77" t="s">
        <v>156</v>
      </c>
      <c r="D44" s="77" t="s">
        <v>13</v>
      </c>
      <c r="E44" s="78">
        <v>150</v>
      </c>
      <c r="F44" s="79">
        <v>40291</v>
      </c>
      <c r="G44" s="80">
        <v>48.01</v>
      </c>
      <c r="H44" s="173">
        <v>49645861156</v>
      </c>
      <c r="I44" s="174">
        <v>78.17</v>
      </c>
      <c r="J44" s="173">
        <v>76.900000000000006</v>
      </c>
      <c r="K44" s="39">
        <v>3.46</v>
      </c>
      <c r="L44" s="156">
        <f t="shared" si="0"/>
        <v>28</v>
      </c>
      <c r="M44" s="156">
        <f t="shared" si="1"/>
        <v>7229.5</v>
      </c>
      <c r="N44" s="156">
        <f t="shared" si="2"/>
        <v>11725.5</v>
      </c>
      <c r="O44" s="172">
        <f t="shared" si="3"/>
        <v>0.62189639670793273</v>
      </c>
      <c r="P44" s="182">
        <f t="shared" si="4"/>
        <v>22.592485549132949</v>
      </c>
      <c r="Q44" s="83" t="str">
        <f t="shared" si="5"/>
        <v>Large</v>
      </c>
      <c r="R44" s="178">
        <f t="shared" si="6"/>
        <v>7.679825013561109E-2</v>
      </c>
    </row>
    <row r="45" spans="1:18" s="3" customFormat="1" ht="12.75" customHeight="1">
      <c r="A45" s="3">
        <v>35</v>
      </c>
      <c r="B45" s="77" t="s">
        <v>109</v>
      </c>
      <c r="C45" s="77" t="s">
        <v>157</v>
      </c>
      <c r="D45" s="77" t="s">
        <v>13</v>
      </c>
      <c r="E45" s="78">
        <v>100</v>
      </c>
      <c r="F45" s="79">
        <v>40291</v>
      </c>
      <c r="G45" s="80">
        <v>56.53</v>
      </c>
      <c r="H45" s="173">
        <v>224654982481</v>
      </c>
      <c r="I45" s="174">
        <v>74.8</v>
      </c>
      <c r="J45" s="173">
        <v>74.069999999999993</v>
      </c>
      <c r="K45" s="39">
        <v>4.38</v>
      </c>
      <c r="L45" s="156">
        <f t="shared" si="0"/>
        <v>28</v>
      </c>
      <c r="M45" s="156">
        <f t="shared" si="1"/>
        <v>5681</v>
      </c>
      <c r="N45" s="156">
        <f t="shared" si="2"/>
        <v>7480</v>
      </c>
      <c r="O45" s="172">
        <f t="shared" si="3"/>
        <v>0.31666960042246084</v>
      </c>
      <c r="P45" s="182">
        <f t="shared" si="4"/>
        <v>17.077625570776256</v>
      </c>
      <c r="Q45" s="83" t="str">
        <f t="shared" si="5"/>
        <v>Large</v>
      </c>
      <c r="R45" s="178">
        <f t="shared" si="6"/>
        <v>4.8991591916282544E-2</v>
      </c>
    </row>
    <row r="46" spans="1:18" s="3" customFormat="1" ht="12.75" customHeight="1">
      <c r="A46" s="3">
        <v>36</v>
      </c>
      <c r="B46" s="66" t="s">
        <v>51</v>
      </c>
      <c r="C46" s="81" t="s">
        <v>159</v>
      </c>
      <c r="D46" s="84" t="s">
        <v>13</v>
      </c>
      <c r="E46" s="85">
        <v>150</v>
      </c>
      <c r="F46" s="86">
        <v>40291</v>
      </c>
      <c r="G46" s="87">
        <v>58.2</v>
      </c>
      <c r="H46" s="173">
        <v>74646343192</v>
      </c>
      <c r="I46" s="174">
        <v>170.15</v>
      </c>
      <c r="J46" s="173">
        <v>170.06</v>
      </c>
      <c r="K46" s="39">
        <v>5.42</v>
      </c>
      <c r="L46" s="156">
        <f t="shared" si="0"/>
        <v>28</v>
      </c>
      <c r="M46" s="156">
        <f t="shared" si="1"/>
        <v>8758</v>
      </c>
      <c r="N46" s="156">
        <f t="shared" si="2"/>
        <v>25522.5</v>
      </c>
      <c r="O46" s="172">
        <f t="shared" si="3"/>
        <v>1.9141927380680521</v>
      </c>
      <c r="P46" s="182">
        <f t="shared" si="4"/>
        <v>31.392988929889299</v>
      </c>
      <c r="Q46" s="83" t="str">
        <f t="shared" si="5"/>
        <v>Large</v>
      </c>
      <c r="R46" s="178">
        <f t="shared" si="6"/>
        <v>0.16716415838012316</v>
      </c>
    </row>
    <row r="47" spans="1:18" ht="14">
      <c r="A47" s="3">
        <v>37</v>
      </c>
      <c r="B47" s="67" t="s">
        <v>134</v>
      </c>
      <c r="C47" s="81" t="s">
        <v>132</v>
      </c>
      <c r="D47" s="84" t="s">
        <v>13</v>
      </c>
      <c r="E47" s="85">
        <v>200</v>
      </c>
      <c r="F47" s="86">
        <v>40291</v>
      </c>
      <c r="G47" s="87">
        <v>55.95</v>
      </c>
      <c r="H47" s="173">
        <v>29783674126</v>
      </c>
      <c r="I47" s="174">
        <v>54.64</v>
      </c>
      <c r="J47" s="173">
        <v>53.89</v>
      </c>
      <c r="K47" s="39">
        <v>4.7</v>
      </c>
      <c r="L47" s="156">
        <f t="shared" si="0"/>
        <v>28</v>
      </c>
      <c r="M47" s="156">
        <f t="shared" si="1"/>
        <v>11218</v>
      </c>
      <c r="N47" s="156">
        <f t="shared" si="2"/>
        <v>10928</v>
      </c>
      <c r="O47" s="172">
        <f t="shared" si="3"/>
        <v>-2.5851310394009626E-2</v>
      </c>
      <c r="P47" s="182">
        <f t="shared" si="4"/>
        <v>11.625531914893617</v>
      </c>
      <c r="Q47" s="83" t="str">
        <f t="shared" si="5"/>
        <v>Large</v>
      </c>
      <c r="R47" s="178">
        <f t="shared" si="6"/>
        <v>7.1574881879830965E-2</v>
      </c>
    </row>
    <row r="50" spans="1:18" ht="16">
      <c r="B50" s="31" t="s">
        <v>27</v>
      </c>
      <c r="C50" s="32"/>
      <c r="D50"/>
      <c r="E50"/>
      <c r="F50"/>
      <c r="G50"/>
      <c r="H50"/>
      <c r="I50"/>
      <c r="J50"/>
      <c r="K50"/>
      <c r="L50"/>
      <c r="M50"/>
      <c r="N50"/>
      <c r="O50"/>
      <c r="P50"/>
      <c r="Q50"/>
      <c r="R50"/>
    </row>
    <row r="51" spans="1:18">
      <c r="B51" s="293" t="s">
        <v>28</v>
      </c>
      <c r="C51" s="294"/>
      <c r="D51"/>
      <c r="E51"/>
      <c r="F51"/>
      <c r="G51"/>
      <c r="H51"/>
      <c r="I51"/>
      <c r="J51"/>
      <c r="K51"/>
      <c r="L51"/>
      <c r="M51"/>
      <c r="N51"/>
      <c r="O51" s="183">
        <f>((SUM(N11:N47)-SUM(M11:M47))/SUM(M11:M47))</f>
        <v>0.26474150513622485</v>
      </c>
      <c r="P51"/>
      <c r="Q51"/>
      <c r="R51"/>
    </row>
    <row r="52" spans="1:18">
      <c r="B52" s="33" t="s">
        <v>29</v>
      </c>
      <c r="C52" s="32"/>
      <c r="D52"/>
      <c r="E52"/>
      <c r="F52"/>
      <c r="G52" s="179">
        <f>AVERAGE(G11:G47)</f>
        <v>44.272162162162161</v>
      </c>
      <c r="H52"/>
      <c r="I52"/>
      <c r="J52"/>
      <c r="K52"/>
      <c r="L52"/>
      <c r="M52"/>
      <c r="N52" s="180">
        <f>AVERAGE(N11:N47)</f>
        <v>5972.6691891891887</v>
      </c>
      <c r="O52" s="181">
        <f>AVERAGE(O11:O47)</f>
        <v>0.33113230682185796</v>
      </c>
      <c r="P52" s="17">
        <f>AVERAGE(P11:P47)</f>
        <v>19.110920562162342</v>
      </c>
      <c r="Q52"/>
      <c r="R52"/>
    </row>
    <row r="53" spans="1:18">
      <c r="B53" s="33" t="s">
        <v>30</v>
      </c>
      <c r="C53" s="32"/>
      <c r="D53"/>
      <c r="E53"/>
      <c r="F53"/>
      <c r="G53" s="179">
        <f>MAX(G11:G47)</f>
        <v>126.99</v>
      </c>
      <c r="H53"/>
      <c r="I53"/>
      <c r="J53" s="179">
        <f>MAX(J11:J47)</f>
        <v>170.06</v>
      </c>
      <c r="K53" s="179">
        <f>MAX(K11:K47)</f>
        <v>12.38</v>
      </c>
      <c r="L53"/>
      <c r="M53"/>
      <c r="N53" s="180">
        <f>MAX(N11:N47)</f>
        <v>25522.5</v>
      </c>
      <c r="O53" s="181">
        <f>MAX(O11:O47)</f>
        <v>1.9141927380680521</v>
      </c>
      <c r="P53" s="17">
        <f>MAX(P11:P47)</f>
        <v>110.02702702702703</v>
      </c>
      <c r="Q53"/>
      <c r="R53" s="12"/>
    </row>
    <row r="54" spans="1:18">
      <c r="B54" s="33" t="s">
        <v>31</v>
      </c>
      <c r="C54" s="32"/>
      <c r="D54"/>
      <c r="E54"/>
      <c r="F54"/>
      <c r="G54" s="179">
        <f>MIN(G11:G47)</f>
        <v>10.48</v>
      </c>
      <c r="H54"/>
      <c r="I54"/>
      <c r="J54" s="179">
        <f>MIN(J11:J47)</f>
        <v>2.76</v>
      </c>
      <c r="K54" s="179">
        <f>MIN(K11:K47)</f>
        <v>-89.3</v>
      </c>
      <c r="L54"/>
      <c r="M54"/>
      <c r="N54" s="180">
        <f>MIN(N11:N47)</f>
        <v>137</v>
      </c>
      <c r="O54" s="181">
        <f>MIN(O11:O47)</f>
        <v>-0.87907082669095882</v>
      </c>
      <c r="P54" s="17">
        <f>MIN(P11:P46)</f>
        <v>0</v>
      </c>
      <c r="Q54"/>
      <c r="R54" s="12"/>
    </row>
    <row r="56" spans="1:18">
      <c r="A56" s="49"/>
      <c r="B56" s="49"/>
      <c r="C56" s="49"/>
      <c r="D56" s="49"/>
      <c r="E56" s="49"/>
      <c r="F56" s="49"/>
      <c r="G56" s="49"/>
      <c r="H56" s="49"/>
      <c r="I56" s="49"/>
      <c r="J56" s="49"/>
      <c r="K56" s="49"/>
      <c r="L56" s="49"/>
      <c r="M56" s="49"/>
      <c r="N56" s="49"/>
      <c r="O56" s="49"/>
      <c r="P56" s="49"/>
      <c r="Q56" s="49"/>
      <c r="R56" s="49"/>
    </row>
    <row r="57" spans="1:18">
      <c r="A57" s="49"/>
      <c r="B57" s="203"/>
      <c r="C57" s="203"/>
      <c r="D57" s="203"/>
      <c r="E57" s="203"/>
      <c r="F57" s="203"/>
      <c r="G57" s="203"/>
      <c r="H57" s="203"/>
      <c r="I57" s="203"/>
      <c r="J57" s="203"/>
      <c r="K57" s="203"/>
      <c r="L57" s="203"/>
      <c r="M57" s="203"/>
      <c r="N57" s="203"/>
      <c r="O57" s="203"/>
      <c r="P57" s="203"/>
      <c r="Q57" s="203"/>
      <c r="R57" s="203"/>
    </row>
    <row r="58" spans="1:18">
      <c r="A58" s="49"/>
      <c r="B58" s="214"/>
      <c r="C58" s="236"/>
      <c r="D58" s="6"/>
      <c r="E58" s="7"/>
      <c r="F58" s="215"/>
      <c r="G58" s="9"/>
      <c r="H58" s="206"/>
      <c r="I58" s="206"/>
      <c r="J58" s="206"/>
      <c r="K58" s="207"/>
      <c r="L58" s="208"/>
      <c r="M58" s="208"/>
      <c r="N58" s="208"/>
      <c r="O58" s="209"/>
      <c r="P58" s="210"/>
      <c r="Q58" s="203"/>
      <c r="R58" s="211"/>
    </row>
    <row r="59" spans="1:18">
      <c r="A59" s="49"/>
      <c r="B59" s="326" t="s">
        <v>442</v>
      </c>
      <c r="C59" s="326"/>
      <c r="D59" s="150"/>
      <c r="E59" s="49"/>
      <c r="F59" s="216"/>
      <c r="G59" s="217"/>
      <c r="H59" s="206"/>
      <c r="I59" s="206"/>
      <c r="J59" s="206"/>
      <c r="K59" s="207"/>
      <c r="L59" s="208"/>
      <c r="M59" s="208"/>
      <c r="N59" s="208"/>
      <c r="O59" s="209"/>
      <c r="P59" s="210"/>
      <c r="Q59" s="203"/>
      <c r="R59" s="211"/>
    </row>
    <row r="60" spans="1:18">
      <c r="A60" s="49"/>
      <c r="B60" s="326"/>
      <c r="C60" s="326"/>
      <c r="D60" s="6"/>
      <c r="E60" s="7"/>
      <c r="F60" s="215"/>
      <c r="G60" s="9"/>
      <c r="H60" s="206"/>
      <c r="I60" s="206"/>
      <c r="J60" s="206"/>
      <c r="K60" s="207"/>
      <c r="L60" s="208"/>
      <c r="M60" s="208"/>
      <c r="N60" s="208"/>
      <c r="O60" s="209"/>
      <c r="P60" s="210"/>
      <c r="Q60" s="203"/>
      <c r="R60" s="211"/>
    </row>
    <row r="61" spans="1:18">
      <c r="A61" s="49"/>
      <c r="B61" s="214"/>
      <c r="C61" s="236"/>
      <c r="D61" s="6"/>
      <c r="E61" s="7"/>
      <c r="F61" s="215"/>
      <c r="G61" s="9"/>
      <c r="H61" s="206"/>
      <c r="I61" s="206"/>
      <c r="J61" s="206"/>
      <c r="K61" s="207"/>
      <c r="L61" s="208"/>
      <c r="M61" s="208"/>
      <c r="N61" s="208"/>
      <c r="O61" s="209"/>
      <c r="P61" s="210"/>
      <c r="Q61" s="203"/>
      <c r="R61" s="211"/>
    </row>
    <row r="62" spans="1:18">
      <c r="A62" s="49"/>
      <c r="B62" s="6"/>
      <c r="C62" s="236"/>
      <c r="D62" s="6"/>
      <c r="E62" s="7"/>
      <c r="F62" s="215"/>
      <c r="G62" s="9"/>
      <c r="H62" s="212"/>
      <c r="I62" s="212"/>
      <c r="J62" s="212"/>
      <c r="K62" s="213"/>
      <c r="L62" s="208"/>
      <c r="M62" s="208"/>
      <c r="N62" s="208"/>
      <c r="O62" s="209"/>
      <c r="P62" s="210"/>
      <c r="Q62" s="203"/>
      <c r="R62" s="211"/>
    </row>
    <row r="63" spans="1:18">
      <c r="A63" s="49"/>
      <c r="B63" s="6"/>
      <c r="C63" s="236"/>
      <c r="D63" s="6"/>
      <c r="E63" s="7"/>
      <c r="F63" s="215"/>
      <c r="G63" s="9"/>
      <c r="H63" s="206"/>
      <c r="I63" s="206"/>
      <c r="J63" s="206"/>
      <c r="K63" s="207"/>
      <c r="L63" s="208"/>
      <c r="M63" s="208"/>
      <c r="N63" s="208"/>
      <c r="O63" s="209"/>
      <c r="P63" s="210"/>
      <c r="Q63" s="203"/>
      <c r="R63" s="211"/>
    </row>
    <row r="64" spans="1:18">
      <c r="A64" s="49"/>
      <c r="B64" s="150"/>
      <c r="C64" s="204"/>
      <c r="D64" s="6"/>
      <c r="E64" s="7"/>
      <c r="F64" s="8"/>
      <c r="G64" s="205"/>
      <c r="H64" s="206"/>
      <c r="I64" s="206"/>
      <c r="J64" s="206"/>
      <c r="K64" s="207"/>
      <c r="L64" s="208"/>
      <c r="M64" s="208"/>
      <c r="N64" s="208"/>
      <c r="O64" s="209"/>
      <c r="P64" s="210"/>
      <c r="Q64" s="203"/>
      <c r="R64" s="211"/>
    </row>
    <row r="65" spans="1:18">
      <c r="A65" s="49"/>
      <c r="B65" s="150"/>
      <c r="C65" s="204"/>
      <c r="D65" s="6"/>
      <c r="E65" s="7"/>
      <c r="F65" s="8"/>
      <c r="G65" s="205"/>
      <c r="H65" s="206"/>
      <c r="I65" s="206"/>
      <c r="J65" s="206"/>
      <c r="K65" s="207"/>
      <c r="L65" s="208"/>
      <c r="M65" s="208"/>
      <c r="N65" s="208"/>
      <c r="O65" s="209"/>
      <c r="P65" s="210"/>
      <c r="Q65" s="203"/>
      <c r="R65" s="211"/>
    </row>
    <row r="66" spans="1:18">
      <c r="A66" s="49"/>
      <c r="B66" s="214"/>
      <c r="C66" s="236"/>
      <c r="D66" s="6"/>
      <c r="E66" s="7"/>
      <c r="F66" s="215"/>
      <c r="G66" s="9"/>
      <c r="H66" s="206"/>
      <c r="I66" s="206"/>
      <c r="J66" s="206"/>
      <c r="K66" s="207"/>
      <c r="L66" s="208"/>
      <c r="M66" s="208"/>
      <c r="N66" s="208"/>
      <c r="O66" s="209"/>
      <c r="P66" s="210"/>
      <c r="Q66" s="203"/>
      <c r="R66" s="211"/>
    </row>
    <row r="67" spans="1:18">
      <c r="A67" s="49"/>
      <c r="B67" s="214"/>
      <c r="C67" s="236"/>
      <c r="D67" s="6"/>
      <c r="E67" s="7"/>
      <c r="F67" s="215"/>
      <c r="G67" s="9"/>
      <c r="H67" s="206"/>
      <c r="I67" s="206"/>
      <c r="J67" s="206"/>
      <c r="K67" s="207"/>
      <c r="L67" s="208"/>
      <c r="M67" s="208"/>
      <c r="N67" s="208"/>
      <c r="O67" s="209"/>
      <c r="P67" s="210"/>
      <c r="Q67" s="203"/>
      <c r="R67" s="211"/>
    </row>
    <row r="68" spans="1:18">
      <c r="A68" s="49"/>
      <c r="B68" s="214"/>
      <c r="C68" s="236"/>
      <c r="D68" s="6"/>
      <c r="E68" s="7"/>
      <c r="F68" s="215"/>
      <c r="G68" s="9"/>
      <c r="H68" s="206"/>
      <c r="I68" s="206"/>
      <c r="J68" s="206"/>
      <c r="K68" s="207"/>
      <c r="L68" s="208"/>
      <c r="M68" s="208"/>
      <c r="N68" s="208"/>
      <c r="O68" s="209"/>
      <c r="P68" s="210"/>
      <c r="Q68" s="203"/>
      <c r="R68" s="211"/>
    </row>
    <row r="69" spans="1:18">
      <c r="A69" s="49"/>
      <c r="B69" s="214"/>
      <c r="C69" s="6"/>
      <c r="D69" s="6"/>
      <c r="E69" s="7"/>
      <c r="F69" s="215"/>
      <c r="G69" s="9"/>
      <c r="H69" s="206"/>
      <c r="I69" s="206"/>
      <c r="J69" s="206"/>
      <c r="K69" s="207"/>
      <c r="L69" s="208"/>
      <c r="M69" s="208"/>
      <c r="N69" s="208"/>
      <c r="O69" s="209"/>
      <c r="P69" s="210"/>
      <c r="Q69" s="203"/>
      <c r="R69" s="211"/>
    </row>
    <row r="70" spans="1:18">
      <c r="A70" s="49"/>
      <c r="B70" s="150"/>
      <c r="C70" s="204"/>
      <c r="D70" s="6"/>
      <c r="E70" s="7"/>
      <c r="F70" s="216"/>
      <c r="G70" s="220"/>
      <c r="H70" s="206"/>
      <c r="I70" s="206"/>
      <c r="J70" s="206"/>
      <c r="K70" s="207"/>
      <c r="L70" s="208"/>
      <c r="M70" s="208"/>
      <c r="N70" s="208"/>
      <c r="O70" s="209"/>
      <c r="P70" s="210"/>
      <c r="Q70" s="203"/>
      <c r="R70" s="211"/>
    </row>
    <row r="71" spans="1:18">
      <c r="A71" s="49"/>
      <c r="B71" s="150"/>
      <c r="C71" s="150"/>
      <c r="D71" s="150"/>
      <c r="E71" s="150"/>
      <c r="F71" s="218"/>
      <c r="G71" s="219"/>
      <c r="H71" s="212"/>
      <c r="I71" s="212"/>
      <c r="J71" s="212"/>
      <c r="K71" s="213"/>
      <c r="L71" s="208"/>
      <c r="M71" s="208"/>
      <c r="N71" s="208"/>
      <c r="O71" s="209"/>
      <c r="P71" s="210"/>
      <c r="Q71" s="203"/>
      <c r="R71" s="211"/>
    </row>
    <row r="72" spans="1:18">
      <c r="A72" s="49"/>
      <c r="B72" s="214"/>
      <c r="C72" s="236"/>
      <c r="D72" s="150"/>
      <c r="E72" s="7"/>
      <c r="F72" s="215"/>
      <c r="G72" s="9"/>
      <c r="H72" s="212"/>
      <c r="I72" s="212"/>
      <c r="J72" s="212"/>
      <c r="K72" s="213"/>
      <c r="L72" s="208"/>
      <c r="M72" s="208"/>
      <c r="N72" s="208"/>
      <c r="O72" s="209"/>
      <c r="P72" s="210"/>
      <c r="Q72" s="203"/>
      <c r="R72" s="211"/>
    </row>
    <row r="73" spans="1:18">
      <c r="A73" s="49"/>
      <c r="B73" s="214"/>
      <c r="C73" s="6"/>
      <c r="D73" s="6"/>
      <c r="E73" s="7"/>
      <c r="F73" s="215"/>
      <c r="G73" s="9"/>
      <c r="H73" s="206"/>
      <c r="I73" s="206"/>
      <c r="J73" s="206"/>
      <c r="K73" s="207"/>
      <c r="L73" s="208"/>
      <c r="M73" s="208"/>
      <c r="N73" s="208"/>
      <c r="O73" s="209"/>
      <c r="P73" s="210"/>
      <c r="Q73" s="203"/>
      <c r="R73" s="211"/>
    </row>
    <row r="74" spans="1:18">
      <c r="A74" s="49"/>
      <c r="B74" s="214"/>
      <c r="C74" s="6"/>
      <c r="D74" s="6"/>
      <c r="E74" s="7"/>
      <c r="F74" s="215"/>
      <c r="G74" s="9"/>
      <c r="H74" s="206"/>
      <c r="I74" s="206"/>
      <c r="J74" s="206"/>
      <c r="K74" s="207"/>
      <c r="L74" s="208"/>
      <c r="M74" s="208"/>
      <c r="N74" s="208"/>
      <c r="O74" s="209"/>
      <c r="P74" s="210"/>
      <c r="Q74" s="203"/>
      <c r="R74" s="211"/>
    </row>
    <row r="75" spans="1:18">
      <c r="A75" s="49"/>
      <c r="B75" s="214"/>
      <c r="C75" s="6"/>
      <c r="D75" s="6"/>
      <c r="E75" s="7"/>
      <c r="F75" s="215"/>
      <c r="G75" s="9"/>
      <c r="H75" s="206"/>
      <c r="I75" s="206"/>
      <c r="J75" s="206"/>
      <c r="K75" s="207"/>
      <c r="L75" s="208"/>
      <c r="M75" s="208"/>
      <c r="N75" s="208"/>
      <c r="O75" s="209"/>
      <c r="P75" s="210"/>
      <c r="Q75" s="203"/>
      <c r="R75" s="211"/>
    </row>
    <row r="76" spans="1:18">
      <c r="A76" s="49"/>
      <c r="B76" s="214"/>
      <c r="C76" s="6"/>
      <c r="D76" s="6"/>
      <c r="E76" s="7"/>
      <c r="F76" s="215"/>
      <c r="G76" s="9"/>
      <c r="H76" s="206"/>
      <c r="I76" s="206"/>
      <c r="J76" s="206"/>
      <c r="K76" s="207"/>
      <c r="L76" s="208"/>
      <c r="M76" s="208"/>
      <c r="N76" s="208"/>
      <c r="O76" s="209"/>
      <c r="P76" s="210"/>
      <c r="Q76" s="203"/>
      <c r="R76" s="211"/>
    </row>
    <row r="77" spans="1:18">
      <c r="A77" s="49"/>
      <c r="B77" s="214"/>
      <c r="C77" s="6"/>
      <c r="D77" s="6"/>
      <c r="E77" s="7"/>
      <c r="F77" s="215"/>
      <c r="G77" s="9"/>
      <c r="H77" s="206"/>
      <c r="I77" s="206"/>
      <c r="J77" s="206"/>
      <c r="K77" s="207"/>
      <c r="L77" s="208"/>
      <c r="M77" s="208"/>
      <c r="N77" s="208"/>
      <c r="O77" s="209"/>
      <c r="P77" s="210"/>
      <c r="Q77" s="203"/>
      <c r="R77" s="211"/>
    </row>
    <row r="78" spans="1:18">
      <c r="A78" s="49"/>
      <c r="B78" s="6"/>
      <c r="C78" s="6"/>
      <c r="D78" s="6"/>
      <c r="E78" s="7"/>
      <c r="F78" s="215"/>
      <c r="G78" s="9"/>
      <c r="H78" s="206"/>
      <c r="I78" s="206"/>
      <c r="J78" s="206"/>
      <c r="K78" s="207"/>
      <c r="L78" s="208"/>
      <c r="M78" s="208"/>
      <c r="N78" s="208"/>
      <c r="O78" s="209"/>
      <c r="P78" s="210"/>
      <c r="Q78" s="203"/>
      <c r="R78" s="211"/>
    </row>
    <row r="79" spans="1:18">
      <c r="A79" s="49"/>
      <c r="B79" s="6"/>
      <c r="C79" s="6"/>
      <c r="D79" s="6"/>
      <c r="E79" s="7"/>
      <c r="F79" s="215"/>
      <c r="G79" s="9"/>
      <c r="H79" s="206"/>
      <c r="I79" s="206"/>
      <c r="J79" s="206"/>
      <c r="K79" s="207"/>
      <c r="L79" s="208"/>
      <c r="M79" s="208"/>
      <c r="N79" s="208"/>
      <c r="O79" s="209"/>
      <c r="P79" s="210"/>
      <c r="Q79" s="203"/>
      <c r="R79" s="211"/>
    </row>
    <row r="80" spans="1:18">
      <c r="A80" s="49"/>
      <c r="B80" s="49"/>
      <c r="C80" s="202"/>
      <c r="D80" s="6"/>
      <c r="E80" s="7"/>
      <c r="F80" s="215"/>
      <c r="G80" s="9"/>
      <c r="H80" s="206"/>
      <c r="I80" s="206"/>
      <c r="J80" s="206"/>
      <c r="K80" s="207"/>
      <c r="L80" s="208"/>
      <c r="M80" s="208"/>
      <c r="N80" s="208"/>
      <c r="O80" s="209"/>
      <c r="P80" s="210"/>
      <c r="Q80" s="203"/>
      <c r="R80" s="211"/>
    </row>
    <row r="81" spans="1:18">
      <c r="A81" s="49"/>
      <c r="B81" s="214"/>
      <c r="C81" s="6"/>
      <c r="D81" s="6"/>
      <c r="E81" s="7"/>
      <c r="F81" s="215"/>
      <c r="G81" s="9"/>
      <c r="H81" s="206"/>
      <c r="I81" s="206"/>
      <c r="J81" s="206"/>
      <c r="K81" s="207"/>
      <c r="L81" s="208"/>
      <c r="M81" s="208"/>
      <c r="N81" s="208"/>
      <c r="O81" s="209"/>
      <c r="P81" s="210"/>
      <c r="Q81" s="203"/>
      <c r="R81" s="211"/>
    </row>
    <row r="82" spans="1:18">
      <c r="A82" s="49"/>
      <c r="B82" s="214"/>
      <c r="C82" s="6"/>
      <c r="D82" s="6"/>
      <c r="E82" s="7"/>
      <c r="F82" s="215"/>
      <c r="G82" s="9"/>
      <c r="H82" s="206"/>
      <c r="I82" s="206"/>
      <c r="J82" s="206"/>
      <c r="K82" s="207"/>
      <c r="L82" s="208"/>
      <c r="M82" s="208"/>
      <c r="N82" s="208"/>
      <c r="O82" s="209"/>
      <c r="P82" s="210"/>
      <c r="Q82" s="203"/>
      <c r="R82" s="211"/>
    </row>
    <row r="83" spans="1:18">
      <c r="A83" s="49"/>
      <c r="B83" s="214"/>
      <c r="C83" s="6"/>
      <c r="D83" s="6"/>
      <c r="E83" s="7"/>
      <c r="F83" s="215"/>
      <c r="G83" s="9"/>
      <c r="H83" s="206"/>
      <c r="I83" s="206"/>
      <c r="J83" s="206"/>
      <c r="K83" s="207"/>
      <c r="L83" s="208"/>
      <c r="M83" s="208"/>
      <c r="N83" s="208"/>
      <c r="O83" s="209"/>
      <c r="P83" s="210"/>
      <c r="Q83" s="203"/>
      <c r="R83" s="211"/>
    </row>
    <row r="84" spans="1:18">
      <c r="A84" s="49"/>
      <c r="B84" s="6"/>
      <c r="C84" s="6"/>
      <c r="D84" s="6"/>
      <c r="E84" s="7"/>
      <c r="F84" s="215"/>
      <c r="G84" s="9"/>
      <c r="H84" s="206"/>
      <c r="I84" s="206"/>
      <c r="J84" s="206"/>
      <c r="K84" s="207"/>
      <c r="L84" s="208"/>
      <c r="M84" s="208"/>
      <c r="N84" s="208"/>
      <c r="O84" s="209"/>
      <c r="P84" s="210"/>
      <c r="Q84" s="203"/>
      <c r="R84" s="211"/>
    </row>
    <row r="85" spans="1:18">
      <c r="A85" s="49"/>
      <c r="B85" s="214"/>
      <c r="C85" s="236"/>
      <c r="D85" s="6"/>
      <c r="E85" s="7"/>
      <c r="F85" s="215"/>
      <c r="G85" s="9"/>
      <c r="H85" s="206"/>
      <c r="I85" s="206"/>
      <c r="J85" s="206"/>
      <c r="K85" s="207"/>
      <c r="L85" s="208"/>
      <c r="M85" s="208"/>
      <c r="N85" s="208"/>
      <c r="O85" s="209"/>
      <c r="P85" s="210"/>
      <c r="Q85" s="203"/>
      <c r="R85" s="211"/>
    </row>
    <row r="86" spans="1:18">
      <c r="A86" s="49"/>
      <c r="B86" s="6"/>
      <c r="C86" s="236"/>
      <c r="D86" s="6"/>
      <c r="E86" s="7"/>
      <c r="F86" s="215"/>
      <c r="G86" s="9"/>
      <c r="H86" s="206"/>
      <c r="I86" s="206"/>
      <c r="J86" s="206"/>
      <c r="K86" s="207"/>
      <c r="L86" s="208"/>
      <c r="M86" s="208"/>
      <c r="N86" s="208"/>
      <c r="O86" s="209"/>
      <c r="P86" s="210"/>
      <c r="Q86" s="203"/>
      <c r="R86" s="211"/>
    </row>
    <row r="87" spans="1:18">
      <c r="A87" s="49"/>
      <c r="B87" s="6"/>
      <c r="C87" s="236"/>
      <c r="D87" s="6"/>
      <c r="E87" s="7"/>
      <c r="F87" s="215"/>
      <c r="G87" s="9"/>
      <c r="H87" s="206"/>
      <c r="I87" s="206"/>
      <c r="J87" s="206"/>
      <c r="K87" s="207"/>
      <c r="L87" s="208"/>
      <c r="M87" s="208"/>
      <c r="N87" s="208"/>
      <c r="O87" s="209"/>
      <c r="P87" s="210"/>
      <c r="Q87" s="203"/>
      <c r="R87" s="211"/>
    </row>
    <row r="88" spans="1:18">
      <c r="A88" s="49"/>
      <c r="B88" s="49"/>
      <c r="C88" s="204"/>
      <c r="D88" s="6"/>
      <c r="E88" s="7"/>
      <c r="F88" s="8"/>
      <c r="G88" s="205"/>
      <c r="H88" s="212"/>
      <c r="I88" s="212"/>
      <c r="J88" s="212"/>
      <c r="K88" s="213"/>
      <c r="L88" s="208"/>
      <c r="M88" s="208"/>
      <c r="N88" s="208"/>
      <c r="O88" s="209"/>
      <c r="P88" s="210"/>
      <c r="Q88" s="203"/>
      <c r="R88" s="211"/>
    </row>
    <row r="89" spans="1:18">
      <c r="A89" s="49"/>
      <c r="B89" s="214"/>
      <c r="C89" s="6"/>
      <c r="D89" s="6"/>
      <c r="E89" s="7"/>
      <c r="F89" s="215"/>
      <c r="G89" s="9"/>
      <c r="H89" s="206"/>
      <c r="I89" s="206"/>
      <c r="J89" s="206"/>
      <c r="K89" s="207"/>
      <c r="L89" s="208"/>
      <c r="M89" s="208"/>
      <c r="N89" s="208"/>
      <c r="O89" s="209"/>
      <c r="P89" s="210"/>
      <c r="Q89" s="203"/>
      <c r="R89" s="211"/>
    </row>
    <row r="90" spans="1:18">
      <c r="A90" s="49"/>
      <c r="B90" s="214"/>
      <c r="C90" s="6"/>
      <c r="D90" s="6"/>
      <c r="E90" s="7"/>
      <c r="F90" s="215"/>
      <c r="G90" s="9"/>
      <c r="H90" s="206"/>
      <c r="I90" s="206"/>
      <c r="J90" s="206"/>
      <c r="K90" s="207"/>
      <c r="L90" s="208"/>
      <c r="M90" s="208"/>
      <c r="N90" s="208"/>
      <c r="O90" s="209"/>
      <c r="P90" s="210"/>
      <c r="Q90" s="203"/>
      <c r="R90" s="211"/>
    </row>
    <row r="91" spans="1:18">
      <c r="A91" s="49"/>
      <c r="B91" s="6"/>
      <c r="C91" s="6"/>
      <c r="D91" s="6"/>
      <c r="E91" s="7"/>
      <c r="F91" s="215"/>
      <c r="G91" s="9"/>
      <c r="H91" s="206"/>
      <c r="I91" s="206"/>
      <c r="J91" s="206"/>
      <c r="K91" s="207"/>
      <c r="L91" s="208"/>
      <c r="M91" s="208"/>
      <c r="N91" s="208"/>
      <c r="O91" s="209"/>
      <c r="P91" s="210"/>
      <c r="Q91" s="203"/>
      <c r="R91" s="211"/>
    </row>
    <row r="92" spans="1:18">
      <c r="A92" s="49"/>
      <c r="B92" s="6"/>
      <c r="C92" s="6"/>
      <c r="D92" s="6"/>
      <c r="E92" s="7"/>
      <c r="F92" s="215"/>
      <c r="G92" s="9"/>
      <c r="H92" s="206"/>
      <c r="I92" s="206"/>
      <c r="J92" s="206"/>
      <c r="K92" s="207"/>
      <c r="L92" s="208"/>
      <c r="M92" s="208"/>
      <c r="N92" s="208"/>
      <c r="O92" s="209"/>
      <c r="P92" s="210"/>
      <c r="Q92" s="203"/>
      <c r="R92" s="211"/>
    </row>
    <row r="93" spans="1:18">
      <c r="A93" s="49"/>
      <c r="B93" s="49"/>
      <c r="C93" s="204"/>
      <c r="D93" s="6"/>
      <c r="E93" s="7"/>
      <c r="F93" s="8"/>
      <c r="G93" s="205"/>
      <c r="H93" s="206"/>
      <c r="I93" s="206"/>
      <c r="J93" s="206"/>
      <c r="K93" s="207"/>
      <c r="L93" s="208"/>
      <c r="M93" s="208"/>
      <c r="N93" s="208"/>
      <c r="O93" s="209"/>
      <c r="P93" s="210"/>
      <c r="Q93" s="203"/>
      <c r="R93" s="211"/>
    </row>
    <row r="94" spans="1:18">
      <c r="A94" s="49"/>
      <c r="B94" s="150"/>
      <c r="C94" s="204"/>
      <c r="D94" s="6"/>
      <c r="E94" s="7"/>
      <c r="F94" s="8"/>
      <c r="G94" s="205"/>
      <c r="H94" s="206"/>
      <c r="I94" s="206"/>
      <c r="J94" s="206"/>
      <c r="K94" s="207"/>
      <c r="L94" s="208"/>
      <c r="M94" s="208"/>
      <c r="N94" s="208"/>
      <c r="O94" s="209"/>
      <c r="P94" s="210"/>
      <c r="Q94" s="203"/>
      <c r="R94" s="211"/>
    </row>
    <row r="95" spans="1:18">
      <c r="A95" s="49"/>
      <c r="B95" s="214"/>
      <c r="C95" s="6"/>
      <c r="D95" s="6"/>
      <c r="E95" s="7"/>
      <c r="F95" s="215"/>
      <c r="G95" s="9"/>
      <c r="H95" s="206"/>
      <c r="I95" s="206"/>
      <c r="J95" s="206"/>
      <c r="K95" s="207"/>
      <c r="L95" s="208"/>
      <c r="M95" s="208"/>
      <c r="N95" s="208"/>
      <c r="O95" s="209"/>
      <c r="P95" s="210"/>
      <c r="Q95" s="203"/>
      <c r="R95" s="211"/>
    </row>
    <row r="96" spans="1:18">
      <c r="B96" s="214"/>
      <c r="C96" s="6"/>
      <c r="D96" s="6"/>
      <c r="E96" s="7"/>
      <c r="F96" s="215"/>
      <c r="G96" s="9"/>
      <c r="H96" s="206"/>
      <c r="I96" s="206"/>
      <c r="J96" s="206"/>
      <c r="K96" s="207"/>
      <c r="L96" s="208"/>
      <c r="M96" s="208"/>
      <c r="N96" s="208"/>
      <c r="O96" s="209"/>
      <c r="P96" s="210"/>
      <c r="Q96" s="203"/>
      <c r="R96" s="211"/>
    </row>
    <row r="97" spans="2:18">
      <c r="B97" s="214"/>
      <c r="C97" s="6"/>
      <c r="D97" s="6"/>
      <c r="E97" s="7"/>
      <c r="F97" s="215"/>
      <c r="G97" s="9"/>
      <c r="H97" s="206"/>
      <c r="I97" s="206"/>
      <c r="J97" s="206"/>
      <c r="K97" s="207"/>
      <c r="L97" s="208"/>
      <c r="M97" s="208"/>
      <c r="N97" s="208"/>
      <c r="O97" s="209"/>
      <c r="P97" s="210"/>
      <c r="Q97" s="203"/>
      <c r="R97" s="211"/>
    </row>
    <row r="98" spans="2:18">
      <c r="B98" s="214"/>
      <c r="C98" s="6"/>
      <c r="D98" s="6"/>
      <c r="E98" s="7"/>
      <c r="F98" s="215"/>
      <c r="G98" s="9"/>
      <c r="H98" s="206"/>
      <c r="I98" s="206"/>
      <c r="J98" s="206"/>
      <c r="K98" s="207"/>
      <c r="L98" s="208"/>
      <c r="M98" s="208"/>
      <c r="N98" s="208"/>
      <c r="O98" s="209"/>
      <c r="P98" s="210"/>
      <c r="Q98" s="203"/>
      <c r="R98" s="211"/>
    </row>
    <row r="99" spans="2:18">
      <c r="B99" s="49"/>
      <c r="C99" s="202"/>
      <c r="D99" s="6"/>
      <c r="E99" s="7"/>
      <c r="F99" s="215"/>
      <c r="G99" s="9"/>
      <c r="H99" s="206"/>
      <c r="I99" s="206"/>
      <c r="J99" s="206"/>
      <c r="K99" s="207"/>
      <c r="L99" s="208"/>
      <c r="M99" s="208"/>
      <c r="N99" s="208"/>
      <c r="O99" s="209"/>
      <c r="P99" s="210"/>
      <c r="Q99" s="203"/>
      <c r="R99" s="211"/>
    </row>
    <row r="100" spans="2:18">
      <c r="B100" s="214"/>
      <c r="C100" s="6"/>
      <c r="D100" s="150"/>
      <c r="E100" s="49"/>
      <c r="F100" s="216"/>
      <c r="G100" s="217"/>
      <c r="H100" s="206"/>
      <c r="I100" s="206"/>
      <c r="J100" s="206"/>
      <c r="K100" s="207"/>
      <c r="L100" s="208"/>
      <c r="M100" s="208"/>
      <c r="N100" s="208"/>
      <c r="O100" s="209"/>
      <c r="P100" s="210"/>
      <c r="Q100" s="203"/>
      <c r="R100" s="211"/>
    </row>
    <row r="101" spans="2:18">
      <c r="B101" s="214"/>
      <c r="C101" s="6"/>
      <c r="D101" s="6"/>
      <c r="E101" s="7"/>
      <c r="F101" s="215"/>
      <c r="G101" s="9"/>
      <c r="H101" s="206"/>
      <c r="I101" s="206"/>
      <c r="J101" s="206"/>
      <c r="K101" s="207"/>
      <c r="L101" s="208"/>
      <c r="M101" s="208"/>
      <c r="N101" s="208"/>
      <c r="O101" s="209"/>
      <c r="P101" s="210"/>
      <c r="Q101" s="203"/>
      <c r="R101" s="211"/>
    </row>
    <row r="102" spans="2:18">
      <c r="B102" s="214"/>
      <c r="C102" s="6"/>
      <c r="D102" s="6"/>
      <c r="E102" s="7"/>
      <c r="F102" s="215"/>
      <c r="G102" s="9"/>
      <c r="H102" s="206"/>
      <c r="I102" s="206"/>
      <c r="J102" s="206"/>
      <c r="K102" s="207"/>
      <c r="L102" s="208"/>
      <c r="M102" s="208"/>
      <c r="N102" s="208"/>
      <c r="O102" s="209"/>
      <c r="P102" s="210"/>
      <c r="Q102" s="203"/>
      <c r="R102" s="211"/>
    </row>
    <row r="103" spans="2:18">
      <c r="B103" s="214"/>
      <c r="C103" s="6"/>
      <c r="D103" s="6"/>
      <c r="E103" s="7"/>
      <c r="F103" s="215"/>
      <c r="G103" s="9"/>
      <c r="H103" s="206"/>
      <c r="I103" s="206"/>
      <c r="J103" s="206"/>
      <c r="K103" s="207"/>
      <c r="L103" s="208"/>
      <c r="M103" s="208"/>
      <c r="N103" s="208"/>
      <c r="O103" s="209"/>
      <c r="P103" s="210"/>
      <c r="Q103" s="203"/>
      <c r="R103" s="211"/>
    </row>
    <row r="104" spans="2:18">
      <c r="B104" s="214"/>
      <c r="C104" s="6"/>
      <c r="D104" s="6"/>
      <c r="E104" s="7"/>
      <c r="F104" s="215"/>
      <c r="G104" s="9"/>
      <c r="H104" s="206"/>
      <c r="I104" s="206"/>
      <c r="J104" s="206"/>
      <c r="K104" s="207"/>
      <c r="L104" s="208"/>
      <c r="M104" s="208"/>
      <c r="N104" s="208"/>
      <c r="O104" s="209"/>
      <c r="P104" s="210"/>
      <c r="Q104" s="203"/>
      <c r="R104" s="211"/>
    </row>
    <row r="105" spans="2:18">
      <c r="B105" s="214"/>
      <c r="C105" s="6"/>
      <c r="D105" s="6"/>
      <c r="E105" s="7"/>
      <c r="F105" s="215"/>
      <c r="G105" s="9"/>
      <c r="H105" s="206"/>
      <c r="I105" s="206"/>
      <c r="J105" s="206"/>
      <c r="K105" s="207"/>
      <c r="L105" s="208"/>
      <c r="M105" s="208"/>
      <c r="N105" s="208"/>
      <c r="O105" s="209"/>
      <c r="P105" s="210"/>
      <c r="Q105" s="203"/>
      <c r="R105" s="211"/>
    </row>
    <row r="106" spans="2:18">
      <c r="B106" s="214"/>
      <c r="C106" s="6"/>
      <c r="D106" s="6"/>
      <c r="E106" s="7"/>
      <c r="F106" s="215"/>
      <c r="G106" s="9"/>
      <c r="H106" s="206"/>
      <c r="I106" s="206"/>
      <c r="J106" s="206"/>
      <c r="K106" s="207"/>
      <c r="L106" s="208"/>
      <c r="M106" s="208"/>
      <c r="N106" s="208"/>
      <c r="O106" s="209"/>
      <c r="P106" s="210"/>
      <c r="Q106" s="203"/>
      <c r="R106" s="211"/>
    </row>
    <row r="107" spans="2:18">
      <c r="B107" s="214"/>
      <c r="C107" s="6"/>
      <c r="D107" s="6"/>
      <c r="E107" s="7"/>
      <c r="F107" s="215"/>
      <c r="G107" s="9"/>
      <c r="H107" s="206"/>
      <c r="I107" s="206"/>
      <c r="J107" s="206"/>
      <c r="K107" s="207"/>
      <c r="L107" s="208"/>
      <c r="M107" s="208"/>
      <c r="N107" s="208"/>
      <c r="O107" s="209"/>
      <c r="P107" s="210"/>
      <c r="Q107" s="203"/>
      <c r="R107" s="211"/>
    </row>
    <row r="108" spans="2:18">
      <c r="B108" s="6"/>
      <c r="C108" s="6"/>
      <c r="D108" s="6"/>
      <c r="E108" s="7"/>
      <c r="F108" s="215"/>
      <c r="G108" s="9"/>
      <c r="H108" s="206"/>
      <c r="I108" s="206"/>
      <c r="J108" s="206"/>
      <c r="K108" s="207"/>
      <c r="L108" s="208"/>
      <c r="M108" s="208"/>
      <c r="N108" s="208"/>
      <c r="O108" s="209"/>
      <c r="P108" s="210"/>
      <c r="Q108" s="203"/>
      <c r="R108" s="211"/>
    </row>
    <row r="109" spans="2:18">
      <c r="B109" s="6"/>
      <c r="C109" s="6"/>
      <c r="D109" s="6"/>
      <c r="E109" s="7"/>
      <c r="F109" s="215"/>
      <c r="G109" s="9"/>
      <c r="H109" s="206"/>
      <c r="I109" s="206"/>
      <c r="J109" s="206"/>
      <c r="K109" s="207"/>
      <c r="L109" s="208"/>
      <c r="M109" s="208"/>
      <c r="N109" s="208"/>
      <c r="O109" s="209"/>
      <c r="P109" s="210"/>
      <c r="Q109" s="203"/>
      <c r="R109" s="211"/>
    </row>
    <row r="110" spans="2:18">
      <c r="B110" s="6"/>
      <c r="C110" s="6"/>
      <c r="D110" s="6"/>
      <c r="E110" s="7"/>
      <c r="F110" s="215"/>
      <c r="G110" s="9"/>
      <c r="H110" s="206"/>
      <c r="I110" s="206"/>
      <c r="J110" s="206"/>
      <c r="K110" s="207"/>
      <c r="L110" s="208"/>
      <c r="M110" s="208"/>
      <c r="N110" s="208"/>
      <c r="O110" s="209"/>
      <c r="P110" s="210"/>
      <c r="Q110" s="203"/>
      <c r="R110" s="211"/>
    </row>
    <row r="111" spans="2:18">
      <c r="B111" s="6"/>
      <c r="C111" s="6"/>
      <c r="D111" s="6"/>
      <c r="E111" s="7"/>
      <c r="F111" s="215"/>
      <c r="G111" s="9"/>
      <c r="H111" s="206"/>
      <c r="I111" s="206"/>
      <c r="J111" s="206"/>
      <c r="K111" s="207"/>
      <c r="L111" s="208"/>
      <c r="M111" s="208"/>
      <c r="N111" s="208"/>
      <c r="O111" s="209"/>
      <c r="P111" s="210"/>
      <c r="Q111" s="203"/>
      <c r="R111" s="211"/>
    </row>
    <row r="112" spans="2:18">
      <c r="B112" s="49"/>
      <c r="C112" s="204"/>
      <c r="D112" s="6"/>
      <c r="E112" s="7"/>
      <c r="F112" s="8"/>
      <c r="G112" s="205"/>
      <c r="H112" s="206"/>
      <c r="I112" s="206"/>
      <c r="J112" s="206"/>
      <c r="K112" s="207"/>
      <c r="L112" s="208"/>
      <c r="M112" s="208"/>
      <c r="N112" s="208"/>
      <c r="O112" s="209"/>
      <c r="P112" s="210"/>
      <c r="Q112" s="203"/>
      <c r="R112" s="211"/>
    </row>
    <row r="113" spans="2:18">
      <c r="B113" s="150"/>
      <c r="C113" s="204"/>
      <c r="D113" s="6"/>
      <c r="E113" s="7"/>
      <c r="F113" s="8"/>
      <c r="G113" s="205"/>
      <c r="H113" s="206"/>
      <c r="I113" s="206"/>
      <c r="J113" s="206"/>
      <c r="K113" s="207"/>
      <c r="L113" s="208"/>
      <c r="M113" s="208"/>
      <c r="N113" s="208"/>
      <c r="O113" s="209"/>
      <c r="P113" s="210"/>
      <c r="Q113" s="203"/>
      <c r="R113" s="211"/>
    </row>
    <row r="114" spans="2:18">
      <c r="B114" s="150"/>
      <c r="C114" s="204"/>
      <c r="D114" s="6"/>
      <c r="E114" s="7"/>
      <c r="F114" s="8"/>
      <c r="G114" s="205"/>
      <c r="H114" s="206"/>
      <c r="I114" s="206"/>
      <c r="J114" s="206"/>
      <c r="K114" s="207"/>
      <c r="L114" s="208"/>
      <c r="M114" s="208"/>
      <c r="N114" s="208"/>
      <c r="O114" s="209"/>
      <c r="P114" s="210"/>
      <c r="Q114" s="203"/>
      <c r="R114" s="211"/>
    </row>
    <row r="115" spans="2:18">
      <c r="B115" s="150"/>
      <c r="C115" s="204"/>
      <c r="D115" s="6"/>
      <c r="E115" s="7"/>
      <c r="F115" s="8"/>
      <c r="G115" s="205"/>
      <c r="H115" s="206"/>
      <c r="I115" s="206"/>
      <c r="J115" s="206"/>
      <c r="K115" s="207"/>
      <c r="L115" s="208"/>
      <c r="M115" s="208"/>
      <c r="N115" s="208"/>
      <c r="O115" s="209"/>
      <c r="P115" s="210"/>
      <c r="Q115" s="203"/>
      <c r="R115" s="211"/>
    </row>
    <row r="116" spans="2:18">
      <c r="B116" s="49"/>
      <c r="C116" s="49"/>
      <c r="D116" s="49"/>
      <c r="E116" s="49"/>
      <c r="F116" s="49"/>
      <c r="G116" s="49"/>
      <c r="H116" s="49"/>
      <c r="I116" s="49"/>
      <c r="J116" s="49"/>
      <c r="K116" s="49"/>
      <c r="L116" s="49"/>
      <c r="M116" s="49"/>
      <c r="N116" s="49"/>
      <c r="O116" s="49"/>
      <c r="P116" s="49"/>
      <c r="Q116" s="49"/>
      <c r="R116" s="49"/>
    </row>
    <row r="117" spans="2:18">
      <c r="B117" s="203"/>
      <c r="C117" s="203"/>
      <c r="D117" s="203"/>
      <c r="E117" s="203"/>
      <c r="F117" s="203"/>
      <c r="G117" s="203"/>
      <c r="H117" s="203"/>
      <c r="I117" s="203"/>
      <c r="J117" s="203"/>
      <c r="K117" s="203"/>
      <c r="L117" s="203"/>
      <c r="M117" s="203"/>
      <c r="N117" s="203"/>
      <c r="O117" s="203"/>
      <c r="P117" s="203"/>
      <c r="Q117" s="203"/>
      <c r="R117" s="203"/>
    </row>
    <row r="118" spans="2:18">
      <c r="B118" s="214"/>
      <c r="C118" s="6"/>
      <c r="D118" s="6"/>
      <c r="E118" s="7"/>
      <c r="F118" s="215"/>
      <c r="G118" s="9"/>
      <c r="H118" s="206"/>
      <c r="I118" s="206"/>
      <c r="J118" s="206"/>
      <c r="K118" s="207"/>
      <c r="L118" s="208"/>
      <c r="M118" s="208"/>
      <c r="N118" s="208"/>
      <c r="O118" s="209"/>
      <c r="P118" s="210"/>
      <c r="Q118" s="203"/>
      <c r="R118" s="211"/>
    </row>
    <row r="119" spans="2:18">
      <c r="B119" s="214"/>
      <c r="C119" s="6"/>
      <c r="D119" s="6"/>
      <c r="E119" s="7"/>
      <c r="F119" s="215"/>
      <c r="G119" s="9"/>
      <c r="H119" s="206"/>
      <c r="I119" s="206"/>
      <c r="J119" s="206"/>
      <c r="K119" s="207"/>
      <c r="L119" s="208"/>
      <c r="M119" s="208"/>
      <c r="N119" s="208"/>
      <c r="O119" s="209"/>
      <c r="P119" s="210"/>
      <c r="Q119" s="203"/>
      <c r="R119" s="211"/>
    </row>
    <row r="120" spans="2:18">
      <c r="B120" s="6"/>
      <c r="C120" s="6"/>
      <c r="D120" s="6"/>
      <c r="E120" s="7"/>
      <c r="F120" s="215"/>
      <c r="G120" s="9"/>
      <c r="H120" s="206"/>
      <c r="I120" s="206"/>
      <c r="J120" s="206"/>
      <c r="K120" s="207"/>
      <c r="L120" s="208"/>
      <c r="M120" s="208"/>
      <c r="N120" s="208"/>
      <c r="O120" s="209"/>
      <c r="P120" s="210"/>
      <c r="Q120" s="203"/>
      <c r="R120" s="211"/>
    </row>
    <row r="121" spans="2:18">
      <c r="B121" s="6"/>
      <c r="C121" s="6"/>
      <c r="D121" s="6"/>
      <c r="E121" s="7"/>
      <c r="F121" s="215"/>
      <c r="G121" s="9"/>
      <c r="H121" s="212"/>
      <c r="I121" s="212"/>
      <c r="J121" s="212"/>
      <c r="K121" s="213"/>
      <c r="L121" s="208"/>
      <c r="M121" s="208"/>
      <c r="N121" s="208"/>
      <c r="O121" s="209"/>
      <c r="P121" s="210"/>
      <c r="Q121" s="203"/>
      <c r="R121" s="211"/>
    </row>
    <row r="122" spans="2:18">
      <c r="B122" s="6"/>
      <c r="C122" s="6"/>
      <c r="D122" s="6"/>
      <c r="E122" s="7"/>
      <c r="F122" s="215"/>
      <c r="G122" s="9"/>
      <c r="H122" s="206"/>
      <c r="I122" s="206"/>
      <c r="J122" s="206"/>
      <c r="K122" s="207"/>
      <c r="L122" s="208"/>
      <c r="M122" s="208"/>
      <c r="N122" s="208"/>
      <c r="O122" s="209"/>
      <c r="P122" s="210"/>
      <c r="Q122" s="203"/>
      <c r="R122" s="211"/>
    </row>
    <row r="123" spans="2:18">
      <c r="B123" s="6"/>
      <c r="C123" s="6"/>
      <c r="D123" s="6"/>
      <c r="E123" s="7"/>
      <c r="F123" s="215"/>
      <c r="G123" s="9"/>
      <c r="H123" s="206"/>
      <c r="I123" s="206"/>
      <c r="J123" s="206"/>
      <c r="K123" s="207"/>
      <c r="L123" s="208"/>
      <c r="M123" s="208"/>
      <c r="N123" s="208"/>
      <c r="O123" s="209"/>
      <c r="P123" s="210"/>
      <c r="Q123" s="203"/>
      <c r="R123" s="211"/>
    </row>
    <row r="124" spans="2:18">
      <c r="B124" s="6"/>
      <c r="C124" s="6"/>
      <c r="D124" s="6"/>
      <c r="E124" s="7"/>
      <c r="F124" s="215"/>
      <c r="G124" s="9"/>
      <c r="H124" s="206"/>
      <c r="I124" s="206"/>
      <c r="J124" s="206"/>
      <c r="K124" s="207"/>
      <c r="L124" s="208"/>
      <c r="M124" s="208"/>
      <c r="N124" s="208"/>
      <c r="O124" s="209"/>
      <c r="P124" s="210"/>
      <c r="Q124" s="203"/>
      <c r="R124" s="211"/>
    </row>
    <row r="125" spans="2:18">
      <c r="B125" s="49"/>
      <c r="C125" s="204"/>
      <c r="D125" s="6"/>
      <c r="E125" s="7"/>
      <c r="F125" s="8"/>
      <c r="G125" s="205"/>
      <c r="H125" s="212"/>
      <c r="I125" s="212"/>
      <c r="J125" s="212"/>
      <c r="K125" s="213"/>
      <c r="L125" s="208"/>
      <c r="M125" s="208"/>
      <c r="N125" s="208"/>
      <c r="O125" s="209"/>
      <c r="P125" s="210"/>
      <c r="Q125" s="203"/>
      <c r="R125" s="211"/>
    </row>
    <row r="126" spans="2:18">
      <c r="B126" s="49"/>
      <c r="C126" s="49"/>
      <c r="D126" s="49"/>
      <c r="E126" s="49"/>
      <c r="F126" s="49"/>
      <c r="G126" s="49"/>
      <c r="H126" s="49"/>
      <c r="I126" s="49"/>
      <c r="J126" s="49"/>
      <c r="K126" s="49"/>
      <c r="L126" s="49"/>
      <c r="M126" s="49"/>
      <c r="N126" s="49"/>
      <c r="O126" s="49"/>
      <c r="P126" s="49"/>
      <c r="Q126" s="49"/>
      <c r="R126" s="49"/>
    </row>
    <row r="127" spans="2:18">
      <c r="B127" s="49"/>
      <c r="C127" s="49"/>
      <c r="D127" s="49"/>
      <c r="E127" s="49"/>
      <c r="F127" s="49"/>
      <c r="G127" s="49"/>
      <c r="H127" s="49"/>
      <c r="I127" s="49"/>
      <c r="J127" s="49"/>
      <c r="K127" s="49"/>
      <c r="L127" s="49"/>
      <c r="M127" s="49"/>
      <c r="N127" s="49"/>
      <c r="O127" s="49"/>
      <c r="P127" s="49"/>
      <c r="Q127" s="49"/>
      <c r="R127" s="49"/>
    </row>
    <row r="128" spans="2:18">
      <c r="B128" s="49"/>
      <c r="C128" s="49"/>
      <c r="D128" s="49"/>
      <c r="E128" s="49"/>
      <c r="F128" s="49"/>
      <c r="G128" s="49"/>
      <c r="H128" s="49"/>
      <c r="I128" s="49"/>
      <c r="J128" s="49"/>
      <c r="K128" s="49"/>
      <c r="L128" s="49"/>
      <c r="M128" s="49"/>
      <c r="N128" s="49"/>
      <c r="O128" s="49"/>
      <c r="P128" s="49"/>
      <c r="Q128" s="49"/>
      <c r="R128" s="49"/>
    </row>
    <row r="129" spans="2:18">
      <c r="B129" s="49"/>
      <c r="C129" s="49"/>
      <c r="D129" s="49"/>
      <c r="E129" s="49"/>
      <c r="F129" s="49"/>
      <c r="G129" s="49"/>
      <c r="H129" s="49"/>
      <c r="I129" s="49"/>
      <c r="J129" s="49"/>
      <c r="K129" s="49"/>
      <c r="L129" s="49"/>
      <c r="M129" s="49"/>
      <c r="N129" s="49"/>
      <c r="O129" s="49"/>
      <c r="P129" s="49"/>
      <c r="Q129" s="49"/>
      <c r="R129" s="49"/>
    </row>
    <row r="130" spans="2:18">
      <c r="B130" s="49"/>
      <c r="C130" s="49"/>
      <c r="D130" s="49"/>
      <c r="E130" s="49"/>
      <c r="F130" s="49"/>
      <c r="G130" s="49"/>
      <c r="H130" s="49"/>
      <c r="I130" s="49"/>
      <c r="J130" s="49"/>
      <c r="K130" s="49"/>
      <c r="L130" s="49"/>
      <c r="M130" s="49"/>
      <c r="N130" s="49"/>
      <c r="O130" s="49"/>
      <c r="P130" s="49"/>
      <c r="Q130" s="49"/>
      <c r="R130" s="49"/>
    </row>
    <row r="131" spans="2:18">
      <c r="B131" s="49"/>
      <c r="C131" s="49"/>
      <c r="D131" s="49"/>
      <c r="E131" s="49"/>
      <c r="F131" s="49"/>
      <c r="G131" s="49"/>
      <c r="H131" s="49"/>
      <c r="I131" s="49"/>
      <c r="J131" s="49"/>
      <c r="K131" s="49"/>
      <c r="L131" s="49"/>
      <c r="M131" s="49"/>
      <c r="N131" s="49"/>
      <c r="O131" s="49"/>
      <c r="P131" s="49"/>
      <c r="Q131" s="49"/>
      <c r="R131" s="49"/>
    </row>
    <row r="132" spans="2:18">
      <c r="B132" s="49"/>
      <c r="C132" s="49"/>
      <c r="D132" s="49"/>
      <c r="E132" s="49"/>
      <c r="F132" s="49"/>
      <c r="G132" s="49"/>
      <c r="H132" s="49"/>
      <c r="I132" s="49"/>
      <c r="J132" s="49"/>
      <c r="K132" s="49"/>
      <c r="L132" s="49"/>
      <c r="M132" s="49"/>
      <c r="N132" s="49"/>
      <c r="O132" s="49"/>
      <c r="P132" s="49"/>
      <c r="Q132" s="49"/>
      <c r="R132" s="49"/>
    </row>
    <row r="133" spans="2:18">
      <c r="B133" s="203"/>
      <c r="C133" s="203"/>
      <c r="D133" s="203"/>
      <c r="E133" s="203"/>
      <c r="F133" s="203"/>
      <c r="G133" s="203"/>
      <c r="H133" s="203"/>
      <c r="I133" s="203"/>
      <c r="J133" s="203"/>
      <c r="K133" s="203"/>
      <c r="L133" s="203"/>
      <c r="M133" s="203"/>
      <c r="N133" s="203"/>
      <c r="O133" s="203"/>
      <c r="P133" s="203"/>
      <c r="Q133" s="203"/>
      <c r="R133" s="203"/>
    </row>
    <row r="134" spans="2:18">
      <c r="B134" s="150"/>
      <c r="C134" s="150"/>
      <c r="D134" s="150"/>
      <c r="E134" s="150"/>
      <c r="F134" s="218"/>
      <c r="G134" s="219"/>
      <c r="H134" s="212"/>
      <c r="I134" s="212"/>
      <c r="J134" s="212"/>
      <c r="K134" s="213"/>
      <c r="L134" s="208"/>
      <c r="M134" s="208"/>
      <c r="N134" s="208"/>
      <c r="O134" s="209"/>
      <c r="P134" s="210"/>
      <c r="Q134" s="203"/>
      <c r="R134" s="211"/>
    </row>
    <row r="135" spans="2:18">
      <c r="B135" s="214"/>
      <c r="C135" s="6"/>
      <c r="D135" s="150"/>
      <c r="E135" s="7"/>
      <c r="F135" s="215"/>
      <c r="G135" s="9"/>
      <c r="H135" s="212"/>
      <c r="I135" s="212"/>
      <c r="J135" s="212"/>
      <c r="K135" s="213"/>
      <c r="L135" s="208"/>
      <c r="M135" s="208"/>
      <c r="N135" s="208"/>
      <c r="O135" s="209"/>
      <c r="P135" s="210"/>
      <c r="Q135" s="203"/>
      <c r="R135" s="211"/>
    </row>
    <row r="136" spans="2:18">
      <c r="B136" s="214"/>
      <c r="C136" s="6"/>
      <c r="D136" s="6"/>
      <c r="E136" s="7"/>
      <c r="F136" s="215"/>
      <c r="G136" s="9"/>
      <c r="H136" s="206"/>
      <c r="I136" s="206"/>
      <c r="J136" s="206"/>
      <c r="K136" s="207"/>
      <c r="L136" s="208"/>
      <c r="M136" s="208"/>
      <c r="N136" s="208"/>
      <c r="O136" s="209"/>
      <c r="P136" s="210"/>
      <c r="Q136" s="203"/>
      <c r="R136" s="211"/>
    </row>
    <row r="137" spans="2:18">
      <c r="B137" s="214"/>
      <c r="C137" s="6"/>
      <c r="D137" s="6"/>
      <c r="E137" s="7"/>
      <c r="F137" s="215"/>
      <c r="G137" s="9"/>
      <c r="H137" s="206"/>
      <c r="I137" s="206"/>
      <c r="J137" s="206"/>
      <c r="K137" s="207"/>
      <c r="L137" s="208"/>
      <c r="M137" s="208"/>
      <c r="N137" s="208"/>
      <c r="O137" s="209"/>
      <c r="P137" s="210"/>
      <c r="Q137" s="203"/>
      <c r="R137" s="211"/>
    </row>
    <row r="138" spans="2:18">
      <c r="B138" s="214"/>
      <c r="C138" s="6"/>
      <c r="D138" s="6"/>
      <c r="E138" s="7"/>
      <c r="F138" s="215"/>
      <c r="G138" s="9"/>
      <c r="H138" s="206"/>
      <c r="I138" s="206"/>
      <c r="J138" s="206"/>
      <c r="K138" s="207"/>
      <c r="L138" s="208"/>
      <c r="M138" s="208"/>
      <c r="N138" s="208"/>
      <c r="O138" s="209"/>
      <c r="P138" s="210"/>
      <c r="Q138" s="203"/>
      <c r="R138" s="211"/>
    </row>
    <row r="139" spans="2:18">
      <c r="B139" s="214"/>
      <c r="C139" s="6"/>
      <c r="D139" s="6"/>
      <c r="E139" s="7"/>
      <c r="F139" s="215"/>
      <c r="G139" s="9"/>
      <c r="H139" s="206"/>
      <c r="I139" s="206"/>
      <c r="J139" s="206"/>
      <c r="K139" s="207"/>
      <c r="L139" s="208"/>
      <c r="M139" s="208"/>
      <c r="N139" s="208"/>
      <c r="O139" s="209"/>
      <c r="P139" s="210"/>
      <c r="Q139" s="203"/>
      <c r="R139" s="211"/>
    </row>
    <row r="140" spans="2:18">
      <c r="B140" s="214"/>
      <c r="C140" s="6"/>
      <c r="D140" s="6"/>
      <c r="E140" s="7"/>
      <c r="F140" s="215"/>
      <c r="G140" s="9"/>
      <c r="H140" s="206"/>
      <c r="I140" s="206"/>
      <c r="J140" s="206"/>
      <c r="K140" s="207"/>
      <c r="L140" s="208"/>
      <c r="M140" s="208"/>
      <c r="N140" s="208"/>
      <c r="O140" s="209"/>
      <c r="P140" s="210"/>
      <c r="Q140" s="203"/>
      <c r="R140" s="211"/>
    </row>
    <row r="141" spans="2:18">
      <c r="B141" s="214"/>
      <c r="C141" s="6"/>
      <c r="D141" s="6"/>
      <c r="E141" s="7"/>
      <c r="F141" s="215"/>
      <c r="G141" s="9"/>
      <c r="H141" s="206"/>
      <c r="I141" s="206"/>
      <c r="J141" s="206"/>
      <c r="K141" s="207"/>
      <c r="L141" s="208"/>
      <c r="M141" s="208"/>
      <c r="N141" s="208"/>
      <c r="O141" s="209"/>
      <c r="P141" s="210"/>
      <c r="Q141" s="203"/>
      <c r="R141" s="211"/>
    </row>
    <row r="142" spans="2:18">
      <c r="B142" s="49"/>
      <c r="C142" s="202"/>
      <c r="D142" s="6"/>
      <c r="E142" s="7"/>
      <c r="F142" s="215"/>
      <c r="G142" s="9"/>
      <c r="H142" s="206"/>
      <c r="I142" s="206"/>
      <c r="J142" s="206"/>
      <c r="K142" s="207"/>
      <c r="L142" s="208"/>
      <c r="M142" s="208"/>
      <c r="N142" s="208"/>
      <c r="O142" s="209"/>
      <c r="P142" s="210"/>
      <c r="Q142" s="203"/>
      <c r="R142" s="211"/>
    </row>
    <row r="143" spans="2:18">
      <c r="B143" s="214"/>
      <c r="C143" s="6"/>
      <c r="D143" s="150"/>
      <c r="E143" s="49"/>
      <c r="F143" s="216"/>
      <c r="G143" s="217"/>
      <c r="H143" s="206"/>
      <c r="I143" s="206"/>
      <c r="J143" s="206"/>
      <c r="K143" s="207"/>
      <c r="L143" s="208"/>
      <c r="M143" s="208"/>
      <c r="N143" s="208"/>
      <c r="O143" s="209"/>
      <c r="P143" s="210"/>
      <c r="Q143" s="203"/>
      <c r="R143" s="211"/>
    </row>
    <row r="144" spans="2:18">
      <c r="B144" s="214"/>
      <c r="C144" s="6"/>
      <c r="D144" s="6"/>
      <c r="E144" s="7"/>
      <c r="F144" s="215"/>
      <c r="G144" s="9"/>
      <c r="H144" s="206"/>
      <c r="I144" s="206"/>
      <c r="J144" s="206"/>
      <c r="K144" s="207"/>
      <c r="L144" s="208"/>
      <c r="M144" s="208"/>
      <c r="N144" s="208"/>
      <c r="O144" s="209"/>
      <c r="P144" s="210"/>
      <c r="Q144" s="203"/>
      <c r="R144" s="211"/>
    </row>
    <row r="145" spans="2:18">
      <c r="B145" s="214"/>
      <c r="C145" s="6"/>
      <c r="D145" s="6"/>
      <c r="E145" s="7"/>
      <c r="F145" s="215"/>
      <c r="G145" s="9"/>
      <c r="H145" s="206"/>
      <c r="I145" s="206"/>
      <c r="J145" s="206"/>
      <c r="K145" s="207"/>
      <c r="L145" s="208"/>
      <c r="M145" s="208"/>
      <c r="N145" s="208"/>
      <c r="O145" s="209"/>
      <c r="P145" s="210"/>
      <c r="Q145" s="203"/>
      <c r="R145" s="211"/>
    </row>
    <row r="146" spans="2:18">
      <c r="B146" s="214"/>
      <c r="C146" s="6"/>
      <c r="D146" s="6"/>
      <c r="E146" s="7"/>
      <c r="F146" s="215"/>
      <c r="G146" s="9"/>
      <c r="H146" s="206"/>
      <c r="I146" s="206"/>
      <c r="J146" s="206"/>
      <c r="K146" s="207"/>
      <c r="L146" s="208"/>
      <c r="M146" s="208"/>
      <c r="N146" s="208"/>
      <c r="O146" s="209"/>
      <c r="P146" s="210"/>
      <c r="Q146" s="203"/>
      <c r="R146" s="211"/>
    </row>
    <row r="147" spans="2:18">
      <c r="B147" s="214"/>
      <c r="C147" s="6"/>
      <c r="D147" s="6"/>
      <c r="E147" s="7"/>
      <c r="F147" s="215"/>
      <c r="G147" s="9"/>
      <c r="H147" s="206"/>
      <c r="I147" s="206"/>
      <c r="J147" s="206"/>
      <c r="K147" s="207"/>
      <c r="L147" s="208"/>
      <c r="M147" s="208"/>
      <c r="N147" s="208"/>
      <c r="O147" s="209"/>
      <c r="P147" s="210"/>
      <c r="Q147" s="203"/>
      <c r="R147" s="211"/>
    </row>
    <row r="148" spans="2:18">
      <c r="B148" s="214"/>
      <c r="C148" s="6"/>
      <c r="D148" s="6"/>
      <c r="E148" s="7"/>
      <c r="F148" s="215"/>
      <c r="G148" s="9"/>
      <c r="H148" s="206"/>
      <c r="I148" s="206"/>
      <c r="J148" s="206"/>
      <c r="K148" s="207"/>
      <c r="L148" s="208"/>
      <c r="M148" s="208"/>
      <c r="N148" s="208"/>
      <c r="O148" s="209"/>
      <c r="P148" s="210"/>
      <c r="Q148" s="203"/>
      <c r="R148" s="211"/>
    </row>
    <row r="149" spans="2:18">
      <c r="B149" s="214"/>
      <c r="C149" s="6"/>
      <c r="D149" s="6"/>
      <c r="E149" s="7"/>
      <c r="F149" s="215"/>
      <c r="G149" s="9"/>
      <c r="H149" s="206"/>
      <c r="I149" s="206"/>
      <c r="J149" s="206"/>
      <c r="K149" s="207"/>
      <c r="L149" s="208"/>
      <c r="M149" s="208"/>
      <c r="N149" s="208"/>
      <c r="O149" s="209"/>
      <c r="P149" s="210"/>
      <c r="Q149" s="203"/>
      <c r="R149" s="211"/>
    </row>
    <row r="150" spans="2:18">
      <c r="B150" s="214"/>
      <c r="C150" s="6"/>
      <c r="D150" s="6"/>
      <c r="E150" s="7"/>
      <c r="F150" s="215"/>
      <c r="G150" s="9"/>
      <c r="H150" s="206"/>
      <c r="I150" s="206"/>
      <c r="J150" s="206"/>
      <c r="K150" s="207"/>
      <c r="L150" s="208"/>
      <c r="M150" s="208"/>
      <c r="N150" s="208"/>
      <c r="O150" s="209"/>
      <c r="P150" s="210"/>
      <c r="Q150" s="203"/>
      <c r="R150" s="211"/>
    </row>
    <row r="151" spans="2:18">
      <c r="B151" s="214"/>
      <c r="C151" s="6"/>
      <c r="D151" s="6"/>
      <c r="E151" s="7"/>
      <c r="F151" s="215"/>
      <c r="G151" s="9"/>
      <c r="H151" s="206"/>
      <c r="I151" s="206"/>
      <c r="J151" s="206"/>
      <c r="K151" s="207"/>
      <c r="L151" s="208"/>
      <c r="M151" s="208"/>
      <c r="N151" s="208"/>
      <c r="O151" s="209"/>
      <c r="P151" s="210"/>
      <c r="Q151" s="203"/>
      <c r="R151" s="211"/>
    </row>
    <row r="152" spans="2:18">
      <c r="B152" s="214"/>
      <c r="C152" s="6"/>
      <c r="D152" s="6"/>
      <c r="E152" s="7"/>
      <c r="F152" s="215"/>
      <c r="G152" s="9"/>
      <c r="H152" s="206"/>
      <c r="I152" s="206"/>
      <c r="J152" s="206"/>
      <c r="K152" s="207"/>
      <c r="L152" s="208"/>
      <c r="M152" s="208"/>
      <c r="N152" s="208"/>
      <c r="O152" s="209"/>
      <c r="P152" s="210"/>
      <c r="Q152" s="203"/>
      <c r="R152" s="211"/>
    </row>
    <row r="153" spans="2:18">
      <c r="B153" s="214"/>
      <c r="C153" s="6"/>
      <c r="D153" s="6"/>
      <c r="E153" s="7"/>
      <c r="F153" s="215"/>
      <c r="G153" s="9"/>
      <c r="H153" s="206"/>
      <c r="I153" s="206"/>
      <c r="J153" s="206"/>
      <c r="K153" s="207"/>
      <c r="L153" s="208"/>
      <c r="M153" s="208"/>
      <c r="N153" s="208"/>
      <c r="O153" s="209"/>
      <c r="P153" s="210"/>
      <c r="Q153" s="203"/>
      <c r="R153" s="211"/>
    </row>
    <row r="154" spans="2:18">
      <c r="B154" s="214"/>
      <c r="C154" s="6"/>
      <c r="D154" s="6"/>
      <c r="E154" s="7"/>
      <c r="F154" s="215"/>
      <c r="G154" s="9"/>
      <c r="H154" s="206"/>
      <c r="I154" s="206"/>
      <c r="J154" s="206"/>
      <c r="K154" s="207"/>
      <c r="L154" s="208"/>
      <c r="M154" s="208"/>
      <c r="N154" s="208"/>
      <c r="O154" s="209"/>
      <c r="P154" s="210"/>
      <c r="Q154" s="203"/>
      <c r="R154" s="211"/>
    </row>
    <row r="155" spans="2:18">
      <c r="B155" s="214"/>
      <c r="C155" s="6"/>
      <c r="D155" s="6"/>
      <c r="E155" s="7"/>
      <c r="F155" s="215"/>
      <c r="G155" s="9"/>
      <c r="H155" s="206"/>
      <c r="I155" s="206"/>
      <c r="J155" s="206"/>
      <c r="K155" s="207"/>
      <c r="L155" s="208"/>
      <c r="M155" s="208"/>
      <c r="N155" s="208"/>
      <c r="O155" s="209"/>
      <c r="P155" s="210"/>
      <c r="Q155" s="203"/>
      <c r="R155" s="211"/>
    </row>
    <row r="156" spans="2:18">
      <c r="B156" s="6"/>
      <c r="C156" s="6"/>
      <c r="D156" s="6"/>
      <c r="E156" s="7"/>
      <c r="F156" s="215"/>
      <c r="G156" s="9"/>
      <c r="H156" s="206"/>
      <c r="I156" s="206"/>
      <c r="J156" s="206"/>
      <c r="K156" s="207"/>
      <c r="L156" s="208"/>
      <c r="M156" s="208"/>
      <c r="N156" s="208"/>
      <c r="O156" s="209"/>
      <c r="P156" s="210"/>
      <c r="Q156" s="203"/>
      <c r="R156" s="211"/>
    </row>
    <row r="157" spans="2:18">
      <c r="B157" s="6"/>
      <c r="C157" s="6"/>
      <c r="D157" s="6"/>
      <c r="E157" s="7"/>
      <c r="F157" s="215"/>
      <c r="G157" s="9"/>
      <c r="H157" s="212"/>
      <c r="I157" s="212"/>
      <c r="J157" s="212"/>
      <c r="K157" s="213"/>
      <c r="L157" s="208"/>
      <c r="M157" s="208"/>
      <c r="N157" s="208"/>
      <c r="O157" s="209"/>
      <c r="P157" s="210"/>
      <c r="Q157" s="203"/>
      <c r="R157" s="211"/>
    </row>
    <row r="158" spans="2:18">
      <c r="B158" s="6"/>
      <c r="C158" s="6"/>
      <c r="D158" s="6"/>
      <c r="E158" s="7"/>
      <c r="F158" s="215"/>
      <c r="G158" s="9"/>
      <c r="H158" s="206"/>
      <c r="I158" s="206"/>
      <c r="J158" s="206"/>
      <c r="K158" s="207"/>
      <c r="L158" s="208"/>
      <c r="M158" s="208"/>
      <c r="N158" s="208"/>
      <c r="O158" s="209"/>
      <c r="P158" s="210"/>
      <c r="Q158" s="203"/>
      <c r="R158" s="211"/>
    </row>
    <row r="159" spans="2:18">
      <c r="B159" s="6"/>
      <c r="C159" s="6"/>
      <c r="D159" s="6"/>
      <c r="E159" s="7"/>
      <c r="F159" s="215"/>
      <c r="G159" s="9"/>
      <c r="H159" s="206"/>
      <c r="I159" s="206"/>
      <c r="J159" s="206"/>
      <c r="K159" s="207"/>
      <c r="L159" s="208"/>
      <c r="M159" s="208"/>
      <c r="N159" s="208"/>
      <c r="O159" s="209"/>
      <c r="P159" s="210"/>
      <c r="Q159" s="203"/>
      <c r="R159" s="211"/>
    </row>
    <row r="160" spans="2:18">
      <c r="B160" s="6"/>
      <c r="C160" s="6"/>
      <c r="D160" s="6"/>
      <c r="E160" s="7"/>
      <c r="F160" s="215"/>
      <c r="G160" s="9"/>
      <c r="H160" s="206"/>
      <c r="I160" s="206"/>
      <c r="J160" s="206"/>
      <c r="K160" s="207"/>
      <c r="L160" s="208"/>
      <c r="M160" s="208"/>
      <c r="N160" s="208"/>
      <c r="O160" s="209"/>
      <c r="P160" s="210"/>
      <c r="Q160" s="203"/>
      <c r="R160" s="211"/>
    </row>
    <row r="161" spans="2:18">
      <c r="B161" s="6"/>
      <c r="C161" s="6"/>
      <c r="D161" s="6"/>
      <c r="E161" s="7"/>
      <c r="F161" s="215"/>
      <c r="G161" s="9"/>
      <c r="H161" s="206"/>
      <c r="I161" s="206"/>
      <c r="J161" s="206"/>
      <c r="K161" s="207"/>
      <c r="L161" s="208"/>
      <c r="M161" s="208"/>
      <c r="N161" s="208"/>
      <c r="O161" s="209"/>
      <c r="P161" s="210"/>
      <c r="Q161" s="203"/>
      <c r="R161" s="211"/>
    </row>
    <row r="162" spans="2:18">
      <c r="B162" s="6"/>
      <c r="C162" s="6"/>
      <c r="D162" s="6"/>
      <c r="E162" s="7"/>
      <c r="F162" s="215"/>
      <c r="G162" s="9"/>
      <c r="H162" s="206"/>
      <c r="I162" s="206"/>
      <c r="J162" s="206"/>
      <c r="K162" s="207"/>
      <c r="L162" s="208"/>
      <c r="M162" s="208"/>
      <c r="N162" s="208"/>
      <c r="O162" s="209"/>
      <c r="P162" s="210"/>
      <c r="Q162" s="203"/>
      <c r="R162" s="211"/>
    </row>
    <row r="163" spans="2:18">
      <c r="B163" s="6"/>
      <c r="C163" s="6"/>
      <c r="D163" s="6"/>
      <c r="E163" s="7"/>
      <c r="F163" s="215"/>
      <c r="G163" s="9"/>
      <c r="H163" s="206"/>
      <c r="I163" s="206"/>
      <c r="J163" s="206"/>
      <c r="K163" s="207"/>
      <c r="L163" s="208"/>
      <c r="M163" s="208"/>
      <c r="N163" s="208"/>
      <c r="O163" s="209"/>
      <c r="P163" s="210"/>
      <c r="Q163" s="203"/>
      <c r="R163" s="211"/>
    </row>
    <row r="164" spans="2:18">
      <c r="B164" s="6"/>
      <c r="C164" s="6"/>
      <c r="D164" s="6"/>
      <c r="E164" s="7"/>
      <c r="F164" s="215"/>
      <c r="G164" s="9"/>
      <c r="H164" s="206"/>
      <c r="I164" s="206"/>
      <c r="J164" s="206"/>
      <c r="K164" s="207"/>
      <c r="L164" s="208"/>
      <c r="M164" s="208"/>
      <c r="N164" s="208"/>
      <c r="O164" s="209"/>
      <c r="P164" s="210"/>
      <c r="Q164" s="203"/>
      <c r="R164" s="211"/>
    </row>
    <row r="165" spans="2:18">
      <c r="B165" s="49"/>
      <c r="C165" s="204"/>
      <c r="D165" s="6"/>
      <c r="E165" s="7"/>
      <c r="F165" s="8"/>
      <c r="G165" s="205"/>
      <c r="H165" s="206"/>
      <c r="I165" s="206"/>
      <c r="J165" s="206"/>
      <c r="K165" s="207"/>
      <c r="L165" s="208"/>
      <c r="M165" s="208"/>
      <c r="N165" s="208"/>
      <c r="O165" s="209"/>
      <c r="P165" s="210"/>
      <c r="Q165" s="203"/>
      <c r="R165" s="211"/>
    </row>
    <row r="166" spans="2:18">
      <c r="B166" s="49"/>
      <c r="C166" s="204"/>
      <c r="D166" s="6"/>
      <c r="E166" s="7"/>
      <c r="F166" s="8"/>
      <c r="G166" s="205"/>
      <c r="H166" s="212"/>
      <c r="I166" s="212"/>
      <c r="J166" s="212"/>
      <c r="K166" s="213"/>
      <c r="L166" s="208"/>
      <c r="M166" s="208"/>
      <c r="N166" s="208"/>
      <c r="O166" s="209"/>
      <c r="P166" s="210"/>
      <c r="Q166" s="203"/>
      <c r="R166" s="211"/>
    </row>
    <row r="167" spans="2:18">
      <c r="B167" s="150"/>
      <c r="C167" s="204"/>
      <c r="D167" s="6"/>
      <c r="E167" s="7"/>
      <c r="F167" s="8"/>
      <c r="G167" s="205"/>
      <c r="H167" s="206"/>
      <c r="I167" s="206"/>
      <c r="J167" s="206"/>
      <c r="K167" s="207"/>
      <c r="L167" s="208"/>
      <c r="M167" s="208"/>
      <c r="N167" s="208"/>
      <c r="O167" s="209"/>
      <c r="P167" s="210"/>
      <c r="Q167" s="203"/>
      <c r="R167" s="211"/>
    </row>
    <row r="168" spans="2:18">
      <c r="B168" s="150"/>
      <c r="C168" s="204"/>
      <c r="D168" s="6"/>
      <c r="E168" s="7"/>
      <c r="F168" s="8"/>
      <c r="G168" s="205"/>
      <c r="H168" s="206"/>
      <c r="I168" s="206"/>
      <c r="J168" s="206"/>
      <c r="K168" s="207"/>
      <c r="L168" s="208"/>
      <c r="M168" s="208"/>
      <c r="N168" s="208"/>
      <c r="O168" s="209"/>
      <c r="P168" s="210"/>
      <c r="Q168" s="203"/>
      <c r="R168" s="211"/>
    </row>
    <row r="169" spans="2:18">
      <c r="B169" s="150"/>
      <c r="C169" s="204"/>
      <c r="D169" s="6"/>
      <c r="E169" s="7"/>
      <c r="F169" s="8"/>
      <c r="G169" s="205"/>
      <c r="H169" s="206"/>
      <c r="I169" s="206"/>
      <c r="J169" s="206"/>
      <c r="K169" s="207"/>
      <c r="L169" s="208"/>
      <c r="M169" s="208"/>
      <c r="N169" s="208"/>
      <c r="O169" s="209"/>
      <c r="P169" s="210"/>
      <c r="Q169" s="203"/>
      <c r="R169" s="211"/>
    </row>
    <row r="170" spans="2:18">
      <c r="B170" s="150"/>
      <c r="C170" s="204"/>
      <c r="D170" s="6"/>
      <c r="E170" s="7"/>
      <c r="F170" s="216"/>
      <c r="G170" s="220"/>
      <c r="H170" s="206"/>
      <c r="I170" s="206"/>
      <c r="J170" s="206"/>
      <c r="K170" s="207"/>
      <c r="L170" s="208"/>
      <c r="M170" s="208"/>
      <c r="N170" s="208"/>
      <c r="O170" s="209"/>
      <c r="P170" s="210"/>
      <c r="Q170" s="203"/>
      <c r="R170" s="211"/>
    </row>
  </sheetData>
  <sortState xmlns:xlrd2="http://schemas.microsoft.com/office/spreadsheetml/2017/richdata2" ref="B11:R47">
    <sortCondition ref="D11:D47"/>
  </sortState>
  <mergeCells count="2">
    <mergeCell ref="B51:C51"/>
    <mergeCell ref="B59:C60"/>
  </mergeCells>
  <phoneticPr fontId="3" type="noConversion"/>
  <conditionalFormatting sqref="R11:R47">
    <cfRule type="top10" dxfId="0" priority="12" rank="7"/>
  </conditionalFormatting>
  <hyperlinks>
    <hyperlink ref="C17" r:id="rId1" display="http://www.msn.com/en-us/money/stockdetails/126.1.EBAY.NAS" xr:uid="{00000000-0004-0000-0B00-000000000000}"/>
    <hyperlink ref="C46" r:id="rId2" display="http://www.msn.com/en-us/money/stockdetails/126.1.COST.NAS" xr:uid="{00000000-0004-0000-0B00-000001000000}"/>
    <hyperlink ref="C41" r:id="rId3" display="http://www.msn.com/en-us/money/stockdetails/126.1.DO.NYS" xr:uid="{00000000-0004-0000-0B00-000002000000}"/>
    <hyperlink ref="C18" r:id="rId4" display="http://www.msn.com/en-us/money/stockdetails/126.1.QCOM.NAS" xr:uid="{00000000-0004-0000-0B00-000003000000}"/>
    <hyperlink ref="C47" r:id="rId5" display="http://www.msn.com/en-us/money/stockdetails/126.1.TGT.NYS" xr:uid="{00000000-0004-0000-0B00-000004000000}"/>
    <hyperlink ref="C23" r:id="rId6" display="http://www.msn.com/en-us/money/stockdetails/126.1.WFM.NAS" xr:uid="{00000000-0004-0000-0B00-000005000000}"/>
  </hyperlinks>
  <pageMargins left="0.75" right="0.75" top="1" bottom="1" header="0.5" footer="0.5"/>
  <pageSetup orientation="portrait" horizontalDpi="300" verticalDpi="300" r:id="rId7"/>
  <headerFooter alignWithMargins="0">
    <oddHeader>&amp;CStephanie Agbenorhevi</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Q32"/>
  <sheetViews>
    <sheetView view="pageLayout" zoomScaleNormal="100" workbookViewId="0">
      <selection activeCell="G4" sqref="G4"/>
    </sheetView>
  </sheetViews>
  <sheetFormatPr baseColWidth="10" defaultColWidth="8.83203125" defaultRowHeight="13"/>
  <cols>
    <col min="2" max="2" width="13.33203125" customWidth="1"/>
    <col min="3" max="3" width="11.6640625" customWidth="1"/>
    <col min="4" max="4" width="11.5" customWidth="1"/>
    <col min="17" max="17" width="17.5" customWidth="1"/>
    <col min="18" max="18" width="10" customWidth="1"/>
  </cols>
  <sheetData>
    <row r="1" spans="1:12" ht="20">
      <c r="A1" s="5" t="s">
        <v>36</v>
      </c>
    </row>
    <row r="3" spans="1:12" ht="16">
      <c r="A3" s="2" t="s">
        <v>121</v>
      </c>
    </row>
    <row r="4" spans="1:12" ht="16">
      <c r="A4" s="2"/>
      <c r="D4" s="82" t="s">
        <v>169</v>
      </c>
    </row>
    <row r="5" spans="1:12">
      <c r="A5" s="1" t="s">
        <v>139</v>
      </c>
      <c r="C5" s="18">
        <f>DMIN(_xlnm.Database,"Commission",CriteriaTYD2)</f>
        <v>2.0859999999999999</v>
      </c>
      <c r="D5" s="92" t="str">
        <f ca="1">OFFSET('Portfolio-TYD'!L11,MATCH('Portfolio-TYD'!L31,'Portfolio-TYD'!L11:L47,0)-1,-10)</f>
        <v xml:space="preserve">PGR </v>
      </c>
    </row>
    <row r="9" spans="1:12" ht="16">
      <c r="A9" s="2" t="s">
        <v>193</v>
      </c>
    </row>
    <row r="10" spans="1:12" ht="16">
      <c r="A10" s="2"/>
      <c r="D10" s="82" t="s">
        <v>169</v>
      </c>
    </row>
    <row r="11" spans="1:12">
      <c r="A11" s="1" t="s">
        <v>46</v>
      </c>
      <c r="C11" s="184">
        <f>DMAX(_xlnm.Database,"Return",CriteriaTYD2)</f>
        <v>1.9141927380680521</v>
      </c>
      <c r="D11" s="92" t="str">
        <f ca="1">OFFSET('Portfolio-TYD'!O11,MATCH('Portfolio-TYD'!O46,'Portfolio-TYD'!O11:O47,0)-1,-13)</f>
        <v>COST</v>
      </c>
      <c r="L11" s="23"/>
    </row>
    <row r="14" spans="1:12" ht="16">
      <c r="A14" s="295" t="s">
        <v>194</v>
      </c>
      <c r="B14" s="295"/>
      <c r="C14" s="295"/>
      <c r="D14" s="295"/>
      <c r="E14" s="295"/>
      <c r="F14" s="295"/>
    </row>
    <row r="15" spans="1:12">
      <c r="D15" s="82" t="s">
        <v>169</v>
      </c>
    </row>
    <row r="16" spans="1:12">
      <c r="A16" s="296" t="s">
        <v>189</v>
      </c>
      <c r="B16" s="297"/>
      <c r="C16" s="185">
        <f>DMAX(_xlnm.Database,"Earnings Per Share",CriteriaTYD2)</f>
        <v>12.38</v>
      </c>
      <c r="D16" s="92" t="str">
        <f ca="1">OFFSET('Portfolio-TYD'!K11,MATCH('Portfolio-TYD'!K13,'Portfolio-TYD'!K11:K47,0)-1,-9)</f>
        <v xml:space="preserve">IBM </v>
      </c>
    </row>
    <row r="20" spans="1:17" ht="16">
      <c r="A20" s="2" t="s">
        <v>206</v>
      </c>
    </row>
    <row r="21" spans="1:17" ht="16">
      <c r="A21" s="2"/>
      <c r="D21" s="82"/>
    </row>
    <row r="22" spans="1:17">
      <c r="A22" s="1"/>
      <c r="C22" s="19">
        <f>DAVERAGE(_xlnm.Database,"P/E Ratio",CriteriaTYD2)</f>
        <v>19.110920562162342</v>
      </c>
      <c r="D22" s="49"/>
    </row>
    <row r="23" spans="1:17">
      <c r="A23" s="148"/>
      <c r="B23" s="3"/>
      <c r="C23" s="3"/>
      <c r="D23" s="3"/>
      <c r="E23" s="3"/>
      <c r="F23" s="3"/>
      <c r="G23" s="3"/>
      <c r="H23" s="3"/>
    </row>
    <row r="26" spans="1:17">
      <c r="A26" s="21" t="s">
        <v>0</v>
      </c>
      <c r="B26" s="21" t="s">
        <v>1</v>
      </c>
      <c r="C26" s="21" t="s">
        <v>2</v>
      </c>
      <c r="D26" s="21" t="s">
        <v>3</v>
      </c>
      <c r="E26" s="21" t="s">
        <v>4</v>
      </c>
      <c r="F26" s="21" t="s">
        <v>5</v>
      </c>
      <c r="G26" s="21" t="s">
        <v>16</v>
      </c>
      <c r="H26" s="21" t="s">
        <v>17</v>
      </c>
      <c r="I26" s="21" t="s">
        <v>18</v>
      </c>
      <c r="J26" s="21" t="s">
        <v>19</v>
      </c>
      <c r="K26" s="21" t="s">
        <v>20</v>
      </c>
      <c r="L26" s="21" t="s">
        <v>21</v>
      </c>
      <c r="M26" s="21" t="s">
        <v>23</v>
      </c>
      <c r="N26" s="21" t="s">
        <v>24</v>
      </c>
      <c r="O26" s="21" t="s">
        <v>25</v>
      </c>
      <c r="P26" s="21" t="s">
        <v>26</v>
      </c>
      <c r="Q26" s="21" t="s">
        <v>22</v>
      </c>
    </row>
    <row r="27" spans="1:17">
      <c r="A27" s="37"/>
      <c r="B27" s="37"/>
      <c r="C27" s="37"/>
      <c r="D27" s="37"/>
      <c r="E27" s="37"/>
      <c r="F27" s="37"/>
      <c r="G27" s="37"/>
      <c r="H27" s="37"/>
      <c r="I27" s="37"/>
      <c r="J27" s="37"/>
      <c r="K27" s="37"/>
      <c r="L27" s="37"/>
      <c r="M27" s="37"/>
      <c r="N27" s="37"/>
      <c r="O27" s="37"/>
      <c r="P27" s="193"/>
      <c r="Q27" s="37"/>
    </row>
    <row r="28" spans="1:17">
      <c r="A28" s="37"/>
      <c r="B28" s="37"/>
      <c r="C28" s="37"/>
      <c r="D28" s="37"/>
      <c r="E28" s="37"/>
      <c r="F28" s="37"/>
      <c r="G28" s="37"/>
      <c r="H28" s="37"/>
      <c r="I28" s="37"/>
      <c r="J28" s="37"/>
      <c r="K28" s="37"/>
      <c r="L28" s="37"/>
      <c r="M28" s="37"/>
      <c r="N28" s="37"/>
      <c r="O28" s="37"/>
      <c r="P28" s="193"/>
      <c r="Q28" s="37"/>
    </row>
    <row r="29" spans="1:17">
      <c r="D29" s="82" t="s">
        <v>43</v>
      </c>
    </row>
    <row r="31" spans="1:17">
      <c r="A31" s="323" t="s">
        <v>441</v>
      </c>
      <c r="B31" s="323"/>
      <c r="C31" s="323"/>
      <c r="D31" s="323"/>
      <c r="E31" s="323"/>
    </row>
    <row r="32" spans="1:17">
      <c r="A32" s="323"/>
      <c r="B32" s="323"/>
      <c r="C32" s="323"/>
      <c r="D32" s="323"/>
      <c r="E32" s="323"/>
    </row>
  </sheetData>
  <mergeCells count="3">
    <mergeCell ref="A14:F14"/>
    <mergeCell ref="A16:B16"/>
    <mergeCell ref="A31:E32"/>
  </mergeCells>
  <phoneticPr fontId="3" type="noConversion"/>
  <pageMargins left="0.75" right="0.75" top="1" bottom="1" header="0.5" footer="0.5"/>
  <pageSetup orientation="landscape" r:id="rId1"/>
  <headerFooter alignWithMargins="0">
    <oddHeader>&amp;CStephanie Agbenorhevi</oddHead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S23"/>
  <sheetViews>
    <sheetView view="pageLayout" zoomScaleNormal="100" workbookViewId="0">
      <selection activeCell="A22" sqref="A22:C23"/>
    </sheetView>
  </sheetViews>
  <sheetFormatPr baseColWidth="10" defaultColWidth="8.83203125" defaultRowHeight="13"/>
  <cols>
    <col min="1" max="1" width="28.6640625" customWidth="1"/>
    <col min="2" max="2" width="15.33203125" customWidth="1"/>
    <col min="3" max="3" width="14.5" customWidth="1"/>
    <col min="4" max="4" width="17.5" customWidth="1"/>
    <col min="5" max="5" width="15.83203125" customWidth="1"/>
    <col min="6" max="6" width="14.83203125" bestFit="1" customWidth="1"/>
    <col min="7" max="7" width="13.5" bestFit="1" customWidth="1"/>
    <col min="8" max="8" width="10" bestFit="1" customWidth="1"/>
    <col min="9" max="9" width="14.5" bestFit="1" customWidth="1"/>
    <col min="10" max="10" width="18.83203125" bestFit="1" customWidth="1"/>
    <col min="11" max="11" width="11.6640625" bestFit="1" customWidth="1"/>
    <col min="12" max="12" width="10" bestFit="1" customWidth="1"/>
    <col min="13" max="13" width="13.6640625" bestFit="1" customWidth="1"/>
    <col min="14" max="14" width="7" bestFit="1" customWidth="1"/>
    <col min="16" max="17" width="19.1640625" bestFit="1" customWidth="1"/>
  </cols>
  <sheetData>
    <row r="1" spans="1:17">
      <c r="A1" s="188" t="s">
        <v>0</v>
      </c>
      <c r="B1" s="188" t="s">
        <v>1</v>
      </c>
      <c r="C1" s="188" t="s">
        <v>2</v>
      </c>
      <c r="D1" s="188" t="s">
        <v>3</v>
      </c>
      <c r="E1" s="188" t="s">
        <v>4</v>
      </c>
      <c r="F1" s="188" t="s">
        <v>5</v>
      </c>
      <c r="G1" s="188" t="s">
        <v>16</v>
      </c>
      <c r="H1" s="188" t="s">
        <v>17</v>
      </c>
      <c r="I1" s="188" t="s">
        <v>18</v>
      </c>
      <c r="J1" s="188" t="s">
        <v>19</v>
      </c>
      <c r="K1" s="188" t="s">
        <v>20</v>
      </c>
      <c r="L1" s="188" t="s">
        <v>21</v>
      </c>
      <c r="M1" s="188" t="s">
        <v>23</v>
      </c>
      <c r="N1" s="188" t="s">
        <v>24</v>
      </c>
      <c r="O1" s="188" t="s">
        <v>25</v>
      </c>
      <c r="P1" s="188" t="s">
        <v>26</v>
      </c>
      <c r="Q1" s="188" t="s">
        <v>22</v>
      </c>
    </row>
    <row r="2" spans="1:17">
      <c r="A2" s="190" t="s">
        <v>51</v>
      </c>
      <c r="B2" s="187"/>
      <c r="C2" s="187"/>
      <c r="D2" s="187"/>
      <c r="E2" s="187"/>
      <c r="F2" s="187"/>
      <c r="G2" s="187"/>
      <c r="H2" s="187"/>
      <c r="I2" s="187"/>
      <c r="J2" s="187"/>
      <c r="K2" s="187"/>
      <c r="L2" s="187"/>
      <c r="M2" s="187"/>
      <c r="N2" s="187"/>
      <c r="O2" s="187"/>
      <c r="P2" s="187"/>
      <c r="Q2" s="187"/>
    </row>
    <row r="3" spans="1:17">
      <c r="A3" s="190" t="s">
        <v>45</v>
      </c>
      <c r="B3" s="187"/>
      <c r="C3" s="187"/>
      <c r="D3" s="187"/>
      <c r="E3" s="187"/>
      <c r="F3" s="187"/>
      <c r="G3" s="187"/>
      <c r="H3" s="187"/>
      <c r="I3" s="187"/>
      <c r="J3" s="187"/>
      <c r="K3" s="187"/>
      <c r="L3" s="187"/>
      <c r="M3" s="187"/>
      <c r="N3" s="187"/>
      <c r="O3" s="187"/>
      <c r="P3" s="187"/>
      <c r="Q3" s="187"/>
    </row>
    <row r="4" spans="1:17">
      <c r="A4" s="190" t="s">
        <v>163</v>
      </c>
      <c r="B4" s="187"/>
      <c r="C4" s="187"/>
      <c r="D4" s="187"/>
      <c r="E4" s="187"/>
      <c r="F4" s="187"/>
      <c r="G4" s="187"/>
      <c r="H4" s="187"/>
      <c r="I4" s="187"/>
      <c r="J4" s="187"/>
      <c r="K4" s="187"/>
      <c r="L4" s="187"/>
      <c r="M4" s="187"/>
      <c r="N4" s="187"/>
      <c r="O4" s="187"/>
      <c r="P4" s="187"/>
      <c r="Q4" s="187"/>
    </row>
    <row r="5" spans="1:17">
      <c r="A5" s="191" t="s">
        <v>133</v>
      </c>
      <c r="B5" s="189"/>
      <c r="C5" s="187"/>
      <c r="D5" s="187"/>
      <c r="E5" s="187"/>
      <c r="F5" s="187"/>
      <c r="G5" s="187"/>
      <c r="H5" s="187"/>
      <c r="I5" s="187"/>
      <c r="J5" s="187"/>
      <c r="K5" s="187"/>
      <c r="L5" s="187"/>
      <c r="M5" s="187"/>
      <c r="N5" s="187"/>
      <c r="O5" s="187"/>
      <c r="P5" s="187"/>
      <c r="Q5" s="187"/>
    </row>
    <row r="6" spans="1:17">
      <c r="A6" s="190" t="s">
        <v>134</v>
      </c>
      <c r="B6" s="187"/>
      <c r="C6" s="187"/>
      <c r="D6" s="187"/>
      <c r="E6" s="187"/>
      <c r="F6" s="187"/>
      <c r="G6" s="187"/>
      <c r="H6" s="187"/>
      <c r="I6" s="187"/>
      <c r="J6" s="187"/>
      <c r="K6" s="187"/>
      <c r="L6" s="187"/>
      <c r="M6" s="187"/>
      <c r="N6" s="187"/>
      <c r="O6" s="187"/>
      <c r="P6" s="187"/>
      <c r="Q6" s="187"/>
    </row>
    <row r="7" spans="1:17">
      <c r="A7" s="190" t="s">
        <v>164</v>
      </c>
      <c r="B7" s="187"/>
      <c r="C7" s="187"/>
      <c r="D7" s="187"/>
      <c r="E7" s="187"/>
      <c r="F7" s="187"/>
      <c r="G7" s="187"/>
      <c r="H7" s="187"/>
      <c r="I7" s="187"/>
      <c r="J7" s="187"/>
      <c r="K7" s="187"/>
      <c r="L7" s="187"/>
      <c r="M7" s="187"/>
      <c r="N7" s="187"/>
      <c r="O7" s="187"/>
      <c r="P7" s="187"/>
      <c r="Q7" s="187"/>
    </row>
    <row r="8" spans="1:17" ht="20">
      <c r="A8" s="5" t="s">
        <v>40</v>
      </c>
    </row>
    <row r="9" spans="1:17">
      <c r="C9" s="1"/>
      <c r="D9" s="1" t="s">
        <v>24</v>
      </c>
      <c r="E9" s="1" t="s">
        <v>169</v>
      </c>
    </row>
    <row r="10" spans="1:17" ht="16">
      <c r="A10" s="2" t="s">
        <v>46</v>
      </c>
      <c r="B10" s="13"/>
      <c r="C10" s="125"/>
      <c r="D10" s="192">
        <f>DMAX(_xlnm.Database,"Return",Criteria_TYD3)</f>
        <v>1.9141927380680521</v>
      </c>
      <c r="E10" s="53" t="str">
        <f ca="1">OFFSET('Portfolio-TYD'!O11,MATCH('Portfolio-TYD'!O46,'Portfolio-TYD'!O11:O47,0)-1,-13)</f>
        <v>COST</v>
      </c>
    </row>
    <row r="11" spans="1:17" ht="16">
      <c r="A11" s="2"/>
      <c r="B11" s="13"/>
      <c r="C11" s="126"/>
      <c r="D11" s="13"/>
    </row>
    <row r="12" spans="1:17" ht="16">
      <c r="A12" s="2" t="s">
        <v>47</v>
      </c>
      <c r="B12" s="13"/>
      <c r="C12" s="125"/>
      <c r="D12" s="192">
        <f>DMIN(_xlnm.Database,"Return",Criteria_TYD3)</f>
        <v>-0.80789381767376878</v>
      </c>
      <c r="E12" s="53" t="str">
        <f ca="1">OFFSET('Portfolio-TYD'!O11,MATCH('Portfolio-TYD'!O41,'Portfolio-TYD'!O11:O47,0)-1,-13)</f>
        <v>DO</v>
      </c>
    </row>
    <row r="13" spans="1:17" ht="16">
      <c r="A13" s="13"/>
      <c r="B13" s="13"/>
      <c r="C13" s="126"/>
      <c r="D13" s="13"/>
    </row>
    <row r="14" spans="1:17" ht="16">
      <c r="A14" s="2" t="s">
        <v>38</v>
      </c>
      <c r="B14" s="13"/>
      <c r="C14" s="127"/>
      <c r="D14" s="54">
        <f>DAVERAGE(_xlnm.Database,"Commission",Criteria_TYD3)</f>
        <v>27.591666666666669</v>
      </c>
      <c r="E14" s="125"/>
    </row>
    <row r="15" spans="1:17" ht="16">
      <c r="A15" s="13"/>
      <c r="B15" s="13"/>
      <c r="C15" s="126"/>
      <c r="D15" s="13"/>
      <c r="E15" s="49"/>
    </row>
    <row r="16" spans="1:17" ht="16">
      <c r="A16" s="2" t="s">
        <v>39</v>
      </c>
      <c r="B16" s="13"/>
      <c r="C16" s="127"/>
      <c r="D16" s="54">
        <f>DAVERAGE(_xlnm.Database,"Current Value",Criteria_TYD3)</f>
        <v>8632.6666666666661</v>
      </c>
      <c r="E16" s="125"/>
    </row>
    <row r="17" spans="1:19" ht="16">
      <c r="A17" s="13"/>
      <c r="B17" s="13"/>
      <c r="C17" s="13"/>
      <c r="D17" s="13"/>
    </row>
    <row r="18" spans="1:19" ht="16">
      <c r="A18" s="2" t="s">
        <v>37</v>
      </c>
      <c r="B18" s="13"/>
      <c r="C18" s="124"/>
      <c r="D18" s="55">
        <f>DAVERAGE(_xlnm.Database,"P/E Ratio",Criteria_TYD3)</f>
        <v>15.170781588949046</v>
      </c>
      <c r="E18" s="125"/>
    </row>
    <row r="21" spans="1:19" ht="18">
      <c r="A21" s="153"/>
      <c r="B21" s="154"/>
      <c r="C21" s="154"/>
      <c r="D21" s="154"/>
      <c r="E21" s="154"/>
      <c r="F21" s="154"/>
      <c r="G21" s="154"/>
      <c r="H21" s="154"/>
      <c r="I21" s="154"/>
      <c r="J21" s="154"/>
      <c r="K21" s="154"/>
      <c r="L21" s="154"/>
      <c r="M21" s="154"/>
      <c r="N21" s="154"/>
      <c r="O21" s="154"/>
      <c r="P21" s="154"/>
      <c r="Q21" s="154"/>
      <c r="R21" s="154"/>
      <c r="S21" s="154"/>
    </row>
    <row r="22" spans="1:19">
      <c r="A22" s="323" t="s">
        <v>440</v>
      </c>
      <c r="B22" s="323"/>
      <c r="C22" s="323"/>
    </row>
    <row r="23" spans="1:19">
      <c r="A23" s="323"/>
      <c r="B23" s="323"/>
      <c r="C23" s="323"/>
    </row>
  </sheetData>
  <mergeCells count="1">
    <mergeCell ref="A22:C23"/>
  </mergeCells>
  <phoneticPr fontId="3" type="noConversion"/>
  <pageMargins left="0.75" right="0.75" top="1" bottom="1" header="0.5" footer="0.5"/>
  <pageSetup orientation="landscape" r:id="rId1"/>
  <headerFooter alignWithMargins="0">
    <oddHeader>&amp;CStephanie Agbenorhevi</oddHead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dimension ref="A1:Q18"/>
  <sheetViews>
    <sheetView view="pageLayout" zoomScaleNormal="100" workbookViewId="0">
      <selection activeCell="A17" sqref="A17:D18"/>
    </sheetView>
  </sheetViews>
  <sheetFormatPr baseColWidth="10" defaultColWidth="8.83203125" defaultRowHeight="13"/>
  <cols>
    <col min="1" max="1" width="20.5" customWidth="1"/>
    <col min="2" max="2" width="15.83203125" bestFit="1" customWidth="1"/>
    <col min="3" max="3" width="8.33203125" bestFit="1" customWidth="1"/>
    <col min="4" max="4" width="17.6640625" bestFit="1" customWidth="1"/>
    <col min="5" max="5" width="20" bestFit="1" customWidth="1"/>
    <col min="6" max="6" width="14.33203125" bestFit="1" customWidth="1"/>
    <col min="7" max="7" width="13.5" bestFit="1" customWidth="1"/>
    <col min="8" max="8" width="9.6640625" bestFit="1" customWidth="1"/>
    <col min="9" max="9" width="14.5" bestFit="1" customWidth="1"/>
    <col min="10" max="10" width="18.83203125" bestFit="1" customWidth="1"/>
    <col min="11" max="11" width="11.6640625" bestFit="1" customWidth="1"/>
    <col min="12" max="12" width="10" bestFit="1" customWidth="1"/>
    <col min="13" max="13" width="13.6640625" bestFit="1" customWidth="1"/>
    <col min="14" max="14" width="7" bestFit="1" customWidth="1"/>
    <col min="15" max="15" width="9.33203125" bestFit="1" customWidth="1"/>
    <col min="16" max="16" width="20.5" bestFit="1" customWidth="1"/>
    <col min="17" max="17" width="20" bestFit="1" customWidth="1"/>
  </cols>
  <sheetData>
    <row r="1" spans="1:17">
      <c r="A1" s="21" t="s">
        <v>0</v>
      </c>
      <c r="B1" s="21" t="s">
        <v>1</v>
      </c>
      <c r="C1" s="21" t="s">
        <v>2</v>
      </c>
      <c r="D1" s="21" t="s">
        <v>3</v>
      </c>
      <c r="E1" s="21" t="s">
        <v>4</v>
      </c>
      <c r="F1" s="21" t="s">
        <v>5</v>
      </c>
      <c r="G1" s="21" t="s">
        <v>16</v>
      </c>
      <c r="H1" s="21" t="s">
        <v>17</v>
      </c>
      <c r="I1" s="21" t="s">
        <v>18</v>
      </c>
      <c r="J1" s="21" t="s">
        <v>19</v>
      </c>
      <c r="K1" s="21" t="s">
        <v>20</v>
      </c>
      <c r="L1" s="21" t="s">
        <v>21</v>
      </c>
      <c r="M1" s="21" t="s">
        <v>23</v>
      </c>
      <c r="N1" s="21" t="s">
        <v>24</v>
      </c>
      <c r="O1" s="21" t="s">
        <v>25</v>
      </c>
      <c r="P1" s="21" t="s">
        <v>26</v>
      </c>
      <c r="Q1" s="21" t="s">
        <v>22</v>
      </c>
    </row>
    <row r="2" spans="1:17">
      <c r="A2" s="37"/>
      <c r="B2" s="37"/>
      <c r="C2" s="37"/>
      <c r="D2" s="37"/>
      <c r="E2" s="37"/>
      <c r="F2" s="37"/>
      <c r="G2" s="37"/>
      <c r="H2" s="37"/>
      <c r="I2" s="37"/>
      <c r="J2" s="37"/>
      <c r="K2" s="37"/>
      <c r="L2" s="37"/>
      <c r="M2" s="37"/>
      <c r="N2" s="37"/>
      <c r="O2" s="37"/>
      <c r="P2" s="193" t="s">
        <v>216</v>
      </c>
      <c r="Q2" s="37"/>
    </row>
    <row r="3" spans="1:17">
      <c r="A3" s="37"/>
      <c r="B3" s="37"/>
      <c r="C3" s="37"/>
      <c r="D3" s="37"/>
      <c r="E3" s="37"/>
      <c r="F3" s="37"/>
      <c r="G3" s="37"/>
      <c r="H3" s="37"/>
      <c r="I3" s="37"/>
      <c r="J3" s="37"/>
      <c r="K3" s="37"/>
      <c r="L3" s="37"/>
      <c r="M3" s="37"/>
      <c r="N3" s="37"/>
      <c r="O3" s="37"/>
      <c r="P3" s="193" t="s">
        <v>222</v>
      </c>
      <c r="Q3" s="37"/>
    </row>
    <row r="6" spans="1:17" ht="16">
      <c r="D6" s="2" t="s">
        <v>178</v>
      </c>
      <c r="E6" s="2" t="s">
        <v>166</v>
      </c>
    </row>
    <row r="7" spans="1:17" ht="14" thickBot="1">
      <c r="B7" s="1"/>
    </row>
    <row r="8" spans="1:17" ht="17" thickBot="1">
      <c r="A8" s="2" t="s">
        <v>188</v>
      </c>
      <c r="B8" s="2"/>
      <c r="C8" s="2"/>
      <c r="D8" s="195">
        <f>DMIN(_xlnm.Database,"Return",Criteria_TYD4)</f>
        <v>-0.43033433778160418</v>
      </c>
      <c r="E8" s="260" t="str">
        <f>INDEX(_xlnm.Database,29,1)</f>
        <v xml:space="preserve">DVN </v>
      </c>
    </row>
    <row r="9" spans="1:17" ht="17" thickBot="1">
      <c r="A9" s="2"/>
      <c r="B9" s="13"/>
      <c r="C9" s="13"/>
      <c r="D9" s="13"/>
    </row>
    <row r="10" spans="1:17" ht="17" thickBot="1">
      <c r="A10" s="2" t="s">
        <v>41</v>
      </c>
      <c r="B10" s="2"/>
      <c r="C10" s="2"/>
      <c r="D10" s="261">
        <f>DMAX(_xlnm.Database,"P/E Ratio",Criteria_TYD4)</f>
        <v>110.02702702702703</v>
      </c>
      <c r="E10" s="51" t="str">
        <f>INDEX(_xlnm.Database,17,1)</f>
        <v>GSK</v>
      </c>
    </row>
    <row r="11" spans="1:17" ht="17" thickBot="1">
      <c r="A11" s="13"/>
      <c r="B11" s="2"/>
      <c r="C11" s="13"/>
      <c r="D11" s="13"/>
    </row>
    <row r="12" spans="1:17" ht="17" thickBot="1">
      <c r="A12" s="2" t="s">
        <v>189</v>
      </c>
      <c r="B12" s="2"/>
      <c r="C12" s="13"/>
      <c r="D12" s="196">
        <f>DMAX(_xlnm.Database,"Earnings Per Share",Criteria_TYD4)</f>
        <v>12.38</v>
      </c>
      <c r="E12" s="52" t="str">
        <f>INDEX(_xlnm.Database,4,1)</f>
        <v xml:space="preserve">IBM </v>
      </c>
    </row>
    <row r="13" spans="1:17" ht="16">
      <c r="A13" s="13"/>
      <c r="B13" s="13"/>
      <c r="C13" s="13"/>
      <c r="D13" s="13"/>
    </row>
    <row r="17" spans="1:4">
      <c r="A17" s="323" t="s">
        <v>439</v>
      </c>
      <c r="B17" s="323"/>
      <c r="C17" s="323"/>
      <c r="D17" s="323"/>
    </row>
    <row r="18" spans="1:4">
      <c r="A18" s="323"/>
      <c r="B18" s="323"/>
      <c r="C18" s="323"/>
      <c r="D18" s="323"/>
    </row>
  </sheetData>
  <mergeCells count="1">
    <mergeCell ref="A17:D18"/>
  </mergeCells>
  <phoneticPr fontId="3" type="noConversion"/>
  <pageMargins left="0.75" right="0.75" top="1" bottom="1" header="0.5" footer="0.5"/>
  <pageSetup orientation="landscape" r:id="rId1"/>
  <headerFooter alignWithMargins="0">
    <oddHeader>&amp;CStephanie Agbenorhevi</oddHead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dimension ref="A1:Q13"/>
  <sheetViews>
    <sheetView view="pageLayout" zoomScaleNormal="100" workbookViewId="0">
      <selection activeCell="A12" sqref="A12:B13"/>
    </sheetView>
  </sheetViews>
  <sheetFormatPr baseColWidth="10" defaultColWidth="8.83203125" defaultRowHeight="13"/>
  <cols>
    <col min="1" max="1" width="34.5" customWidth="1"/>
    <col min="2" max="2" width="13.6640625" bestFit="1" customWidth="1"/>
    <col min="3" max="3" width="9" customWidth="1"/>
    <col min="4" max="4" width="17.6640625" bestFit="1" customWidth="1"/>
    <col min="5" max="5" width="20" bestFit="1" customWidth="1"/>
    <col min="6" max="6" width="14.83203125" bestFit="1" customWidth="1"/>
    <col min="7" max="7" width="14.33203125" bestFit="1" customWidth="1"/>
    <col min="8" max="8" width="10" bestFit="1" customWidth="1"/>
    <col min="9" max="9" width="14.33203125" bestFit="1" customWidth="1"/>
    <col min="10" max="10" width="18.83203125" bestFit="1" customWidth="1"/>
    <col min="11" max="11" width="12" bestFit="1" customWidth="1"/>
    <col min="12" max="12" width="10" bestFit="1" customWidth="1"/>
    <col min="13" max="13" width="13.33203125" bestFit="1" customWidth="1"/>
    <col min="14" max="14" width="7" bestFit="1" customWidth="1"/>
    <col min="15" max="15" width="9.33203125" bestFit="1" customWidth="1"/>
    <col min="16" max="17" width="19.1640625" bestFit="1" customWidth="1"/>
    <col min="18" max="18" width="9" customWidth="1"/>
  </cols>
  <sheetData>
    <row r="1" spans="1:17">
      <c r="A1" s="186" t="s">
        <v>0</v>
      </c>
      <c r="B1" s="186" t="s">
        <v>1</v>
      </c>
      <c r="C1" s="186" t="s">
        <v>2</v>
      </c>
      <c r="D1" s="186" t="s">
        <v>3</v>
      </c>
      <c r="E1" s="186" t="s">
        <v>4</v>
      </c>
      <c r="F1" s="186" t="s">
        <v>5</v>
      </c>
      <c r="G1" s="186" t="s">
        <v>16</v>
      </c>
      <c r="H1" s="186" t="s">
        <v>17</v>
      </c>
      <c r="I1" s="186" t="s">
        <v>18</v>
      </c>
      <c r="J1" s="186" t="s">
        <v>19</v>
      </c>
      <c r="K1" s="186" t="s">
        <v>20</v>
      </c>
      <c r="L1" s="186" t="s">
        <v>21</v>
      </c>
      <c r="M1" s="186" t="s">
        <v>23</v>
      </c>
      <c r="N1" s="186" t="s">
        <v>24</v>
      </c>
      <c r="O1" s="186" t="s">
        <v>25</v>
      </c>
      <c r="P1" s="186" t="s">
        <v>26</v>
      </c>
      <c r="Q1" s="186" t="s">
        <v>22</v>
      </c>
    </row>
    <row r="2" spans="1:17">
      <c r="A2" s="187"/>
      <c r="B2" s="187"/>
      <c r="C2" s="187"/>
      <c r="D2" s="187"/>
      <c r="E2" s="187"/>
      <c r="F2" s="187"/>
      <c r="G2" s="187"/>
      <c r="H2" s="187"/>
      <c r="I2" s="187"/>
      <c r="J2" s="187"/>
      <c r="K2" s="187"/>
      <c r="L2" s="187"/>
      <c r="M2" s="187"/>
      <c r="N2" s="187"/>
      <c r="O2" s="187"/>
      <c r="P2" s="190" t="s">
        <v>217</v>
      </c>
      <c r="Q2" s="187"/>
    </row>
    <row r="3" spans="1:17">
      <c r="A3" s="187"/>
      <c r="B3" s="187"/>
      <c r="C3" s="187"/>
      <c r="D3" s="187"/>
      <c r="E3" s="187"/>
      <c r="F3" s="187"/>
      <c r="G3" s="187"/>
      <c r="H3" s="187"/>
      <c r="I3" s="187"/>
      <c r="J3" s="187"/>
      <c r="K3" s="187"/>
      <c r="L3" s="187"/>
      <c r="M3" s="187"/>
      <c r="N3" s="187"/>
      <c r="O3" s="187"/>
      <c r="P3" s="190" t="s">
        <v>222</v>
      </c>
      <c r="Q3" s="187"/>
    </row>
    <row r="6" spans="1:17" ht="16">
      <c r="D6" s="128" t="s">
        <v>178</v>
      </c>
      <c r="E6" s="2" t="s">
        <v>166</v>
      </c>
    </row>
    <row r="7" spans="1:17" ht="14" thickBot="1">
      <c r="B7" s="1"/>
      <c r="D7" s="4"/>
    </row>
    <row r="8" spans="1:17" ht="17" thickBot="1">
      <c r="A8" s="2" t="s">
        <v>48</v>
      </c>
      <c r="B8" s="2"/>
      <c r="C8" s="2"/>
      <c r="D8" s="52">
        <f>DMAX(_xlnm.Database,"Current Value",Criteria_TYD5)</f>
        <v>7178</v>
      </c>
      <c r="E8" s="52" t="str">
        <f>INDEX(_xlnm.Database,6,1)</f>
        <v xml:space="preserve">NCR </v>
      </c>
    </row>
    <row r="9" spans="1:17" ht="17" thickBot="1">
      <c r="A9" s="2"/>
      <c r="B9" s="13"/>
      <c r="C9" s="13"/>
      <c r="D9" s="14"/>
    </row>
    <row r="10" spans="1:17" ht="17" thickBot="1">
      <c r="A10" s="2" t="s">
        <v>49</v>
      </c>
      <c r="B10" s="2"/>
      <c r="C10" s="2"/>
      <c r="D10" s="52">
        <f>DMIN(_xlnm.Database,"Current Value",Criteria_TYD5)</f>
        <v>137</v>
      </c>
      <c r="E10" s="52" t="str">
        <f>INDEX(_xlnm.Database,28,1)</f>
        <v>YGE</v>
      </c>
    </row>
    <row r="11" spans="1:17">
      <c r="D11" s="4"/>
    </row>
    <row r="12" spans="1:17">
      <c r="A12" s="323" t="s">
        <v>438</v>
      </c>
      <c r="B12" s="323"/>
      <c r="D12" s="4"/>
    </row>
    <row r="13" spans="1:17">
      <c r="A13" s="323"/>
      <c r="B13" s="323"/>
    </row>
  </sheetData>
  <mergeCells count="1">
    <mergeCell ref="A12:B13"/>
  </mergeCells>
  <phoneticPr fontId="3" type="noConversion"/>
  <pageMargins left="0.75" right="0.75" top="1" bottom="1" header="0.5" footer="0.5"/>
  <pageSetup orientation="landscape" r:id="rId1"/>
  <headerFooter alignWithMargins="0">
    <oddHeader>&amp;CStephanie Agbenorhevi</oddHead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6"/>
  <dimension ref="A1:T16"/>
  <sheetViews>
    <sheetView view="pageLayout" zoomScaleNormal="100" workbookViewId="0">
      <selection activeCell="A15" sqref="A15:B16"/>
    </sheetView>
  </sheetViews>
  <sheetFormatPr baseColWidth="10" defaultColWidth="8.83203125" defaultRowHeight="13"/>
  <cols>
    <col min="1" max="1" width="7.83203125" bestFit="1" customWidth="1"/>
    <col min="2" max="2" width="21.1640625" customWidth="1"/>
    <col min="3" max="3" width="17.1640625" customWidth="1"/>
    <col min="4" max="4" width="17.33203125" bestFit="1" customWidth="1"/>
    <col min="5" max="5" width="14.33203125" bestFit="1" customWidth="1"/>
    <col min="6" max="6" width="14.6640625" customWidth="1"/>
    <col min="7" max="7" width="19.1640625" customWidth="1"/>
    <col min="8" max="8" width="10" bestFit="1" customWidth="1"/>
    <col min="9" max="9" width="14.33203125" bestFit="1" customWidth="1"/>
    <col min="10" max="10" width="18.33203125" bestFit="1" customWidth="1"/>
    <col min="11" max="11" width="12" bestFit="1" customWidth="1"/>
    <col min="12" max="12" width="10.6640625" bestFit="1" customWidth="1"/>
    <col min="13" max="13" width="13.6640625" bestFit="1" customWidth="1"/>
    <col min="14" max="14" width="7" bestFit="1" customWidth="1"/>
    <col min="15" max="15" width="9.33203125" bestFit="1" customWidth="1"/>
    <col min="16" max="17" width="19.1640625" bestFit="1" customWidth="1"/>
    <col min="18" max="19" width="48.33203125" customWidth="1"/>
  </cols>
  <sheetData>
    <row r="1" spans="1:20" ht="16">
      <c r="A1" s="2" t="s">
        <v>195</v>
      </c>
    </row>
    <row r="4" spans="1:20">
      <c r="A4" s="1" t="s">
        <v>0</v>
      </c>
      <c r="B4" s="1" t="s">
        <v>1</v>
      </c>
      <c r="C4" s="1" t="s">
        <v>2</v>
      </c>
      <c r="D4" s="1" t="s">
        <v>3</v>
      </c>
      <c r="E4" s="1" t="s">
        <v>4</v>
      </c>
      <c r="F4" s="1" t="s">
        <v>5</v>
      </c>
      <c r="G4" s="1" t="s">
        <v>16</v>
      </c>
      <c r="H4" s="1" t="s">
        <v>17</v>
      </c>
      <c r="I4" s="1" t="s">
        <v>18</v>
      </c>
      <c r="J4" s="1" t="s">
        <v>19</v>
      </c>
      <c r="K4" s="1" t="s">
        <v>20</v>
      </c>
      <c r="L4" s="1" t="s">
        <v>21</v>
      </c>
      <c r="M4" s="1" t="s">
        <v>23</v>
      </c>
      <c r="N4" s="1" t="s">
        <v>24</v>
      </c>
      <c r="O4" s="1" t="s">
        <v>25</v>
      </c>
      <c r="P4" s="1" t="s">
        <v>26</v>
      </c>
      <c r="Q4" s="1" t="s">
        <v>22</v>
      </c>
    </row>
    <row r="5" spans="1:20">
      <c r="A5" s="37" t="s">
        <v>177</v>
      </c>
      <c r="B5" s="37" t="s">
        <v>144</v>
      </c>
      <c r="C5" s="37" t="s">
        <v>12</v>
      </c>
      <c r="D5" s="37">
        <v>100</v>
      </c>
      <c r="E5" s="37">
        <v>40291</v>
      </c>
      <c r="F5" s="37">
        <v>105.48</v>
      </c>
      <c r="G5" s="56">
        <v>123606162095</v>
      </c>
      <c r="H5" s="37">
        <v>162.72</v>
      </c>
      <c r="I5" s="37">
        <v>164.4</v>
      </c>
      <c r="J5" s="37">
        <v>9.06</v>
      </c>
      <c r="K5" s="56">
        <v>28</v>
      </c>
      <c r="L5" s="56">
        <v>10576</v>
      </c>
      <c r="M5" s="56">
        <v>16272</v>
      </c>
      <c r="N5" s="221">
        <v>0.53857791225416041</v>
      </c>
      <c r="O5" s="222">
        <v>17.960264900662249</v>
      </c>
      <c r="P5" s="37" t="s">
        <v>216</v>
      </c>
      <c r="Q5" s="221">
        <v>9.6174328026802092E-2</v>
      </c>
      <c r="R5" s="3"/>
      <c r="S5" s="3"/>
      <c r="T5" s="3"/>
    </row>
    <row r="6" spans="1:20">
      <c r="A6" s="37" t="s">
        <v>168</v>
      </c>
      <c r="B6" s="37" t="s">
        <v>66</v>
      </c>
      <c r="C6" s="37" t="s">
        <v>6</v>
      </c>
      <c r="D6" s="37">
        <v>100</v>
      </c>
      <c r="E6" s="37">
        <v>40291</v>
      </c>
      <c r="F6" s="37">
        <v>67.88</v>
      </c>
      <c r="G6" s="56">
        <v>15857072051</v>
      </c>
      <c r="H6" s="37">
        <v>99.59</v>
      </c>
      <c r="I6" s="37">
        <v>98.04</v>
      </c>
      <c r="J6" s="37">
        <v>5.59</v>
      </c>
      <c r="K6" s="56">
        <v>28</v>
      </c>
      <c r="L6" s="56">
        <v>6816</v>
      </c>
      <c r="M6" s="56">
        <v>9959</v>
      </c>
      <c r="N6" s="221">
        <v>0.46112089201877932</v>
      </c>
      <c r="O6" s="222">
        <v>17.815742397137747</v>
      </c>
      <c r="P6" s="37" t="s">
        <v>216</v>
      </c>
      <c r="Q6" s="221">
        <v>5.8861856736659411E-2</v>
      </c>
      <c r="R6" s="3"/>
      <c r="S6" s="3"/>
      <c r="T6" s="3"/>
    </row>
    <row r="7" spans="1:20">
      <c r="A7" s="37" t="s">
        <v>95</v>
      </c>
      <c r="B7" s="37" t="s">
        <v>148</v>
      </c>
      <c r="C7" s="37" t="s">
        <v>7</v>
      </c>
      <c r="D7" s="37">
        <v>100</v>
      </c>
      <c r="E7" s="37">
        <v>40291</v>
      </c>
      <c r="F7" s="37">
        <v>48.72</v>
      </c>
      <c r="G7" s="56">
        <v>23104464730</v>
      </c>
      <c r="H7" s="37">
        <v>108.8</v>
      </c>
      <c r="I7" s="37">
        <v>108.63</v>
      </c>
      <c r="J7" s="37">
        <v>3.34</v>
      </c>
      <c r="K7" s="56">
        <v>28</v>
      </c>
      <c r="L7" s="56">
        <v>4900</v>
      </c>
      <c r="M7" s="56">
        <v>10880</v>
      </c>
      <c r="N7" s="221">
        <v>1.2204081632653061</v>
      </c>
      <c r="O7" s="222">
        <v>32.574850299401199</v>
      </c>
      <c r="P7" s="37" t="s">
        <v>216</v>
      </c>
      <c r="Q7" s="221">
        <v>6.4305352072984684E-2</v>
      </c>
      <c r="R7" s="3"/>
      <c r="S7" s="3"/>
      <c r="T7" s="3"/>
    </row>
    <row r="8" spans="1:20">
      <c r="A8" s="37" t="s">
        <v>99</v>
      </c>
      <c r="B8" s="37" t="s">
        <v>73</v>
      </c>
      <c r="C8" s="37" t="s">
        <v>12</v>
      </c>
      <c r="D8" s="37">
        <v>88</v>
      </c>
      <c r="E8" s="37">
        <v>40291</v>
      </c>
      <c r="F8" s="37">
        <v>65.040000000000006</v>
      </c>
      <c r="G8" s="56">
        <v>329020961069</v>
      </c>
      <c r="H8" s="37">
        <v>121.87</v>
      </c>
      <c r="I8" s="37">
        <v>121.37</v>
      </c>
      <c r="J8" s="37">
        <v>5.93</v>
      </c>
      <c r="K8" s="56">
        <v>28</v>
      </c>
      <c r="L8" s="56">
        <v>5751.52</v>
      </c>
      <c r="M8" s="56">
        <v>10724.560000000001</v>
      </c>
      <c r="N8" s="221">
        <v>0.86464795393217797</v>
      </c>
      <c r="O8" s="222">
        <v>20.551433389544691</v>
      </c>
      <c r="P8" s="37" t="s">
        <v>216</v>
      </c>
      <c r="Q8" s="221">
        <v>6.3386636638589025E-2</v>
      </c>
      <c r="R8" s="3"/>
      <c r="S8" s="3"/>
      <c r="T8" s="3"/>
    </row>
    <row r="9" spans="1:20">
      <c r="A9" s="37" t="s">
        <v>108</v>
      </c>
      <c r="B9" s="37" t="s">
        <v>156</v>
      </c>
      <c r="C9" s="37" t="s">
        <v>13</v>
      </c>
      <c r="D9" s="37">
        <v>150</v>
      </c>
      <c r="E9" s="37">
        <v>40291</v>
      </c>
      <c r="F9" s="37">
        <v>48.01</v>
      </c>
      <c r="G9" s="56">
        <v>49645861156</v>
      </c>
      <c r="H9" s="37">
        <v>78.17</v>
      </c>
      <c r="I9" s="37">
        <v>76.900000000000006</v>
      </c>
      <c r="J9" s="37">
        <v>3.46</v>
      </c>
      <c r="K9" s="56">
        <v>28</v>
      </c>
      <c r="L9" s="56">
        <v>7229.5</v>
      </c>
      <c r="M9" s="56">
        <v>11725.5</v>
      </c>
      <c r="N9" s="221">
        <v>0.62189639670793273</v>
      </c>
      <c r="O9" s="222">
        <v>22.592485549132949</v>
      </c>
      <c r="P9" s="37" t="s">
        <v>216</v>
      </c>
      <c r="Q9" s="221">
        <v>6.9302610820935834E-2</v>
      </c>
      <c r="R9" s="3"/>
      <c r="S9" s="3"/>
      <c r="T9" s="3"/>
    </row>
    <row r="10" spans="1:20">
      <c r="A10" s="37" t="s">
        <v>51</v>
      </c>
      <c r="B10" s="37" t="s">
        <v>159</v>
      </c>
      <c r="C10" s="37" t="s">
        <v>13</v>
      </c>
      <c r="D10" s="37">
        <v>150</v>
      </c>
      <c r="E10" s="37">
        <v>40291</v>
      </c>
      <c r="F10" s="37">
        <v>58.2</v>
      </c>
      <c r="G10" s="56">
        <v>74646343192</v>
      </c>
      <c r="H10" s="37">
        <v>170.15</v>
      </c>
      <c r="I10" s="37">
        <v>170.06</v>
      </c>
      <c r="J10" s="37">
        <v>5.42</v>
      </c>
      <c r="K10" s="56">
        <v>28</v>
      </c>
      <c r="L10" s="56">
        <v>8758</v>
      </c>
      <c r="M10" s="56">
        <v>25522.5</v>
      </c>
      <c r="N10" s="221">
        <v>1.9141927380680521</v>
      </c>
      <c r="O10" s="222">
        <v>31.392988929889299</v>
      </c>
      <c r="P10" s="37" t="s">
        <v>216</v>
      </c>
      <c r="Q10" s="221">
        <v>0.15084865333481171</v>
      </c>
    </row>
    <row r="11" spans="1:20">
      <c r="A11" s="37" t="s">
        <v>134</v>
      </c>
      <c r="B11" s="37" t="s">
        <v>132</v>
      </c>
      <c r="C11" s="37" t="s">
        <v>13</v>
      </c>
      <c r="D11" s="37">
        <v>200</v>
      </c>
      <c r="E11" s="37">
        <v>40291</v>
      </c>
      <c r="F11" s="37">
        <v>55.95</v>
      </c>
      <c r="G11" s="56">
        <v>29783674126</v>
      </c>
      <c r="H11" s="37">
        <v>54.64</v>
      </c>
      <c r="I11" s="37">
        <v>53.89</v>
      </c>
      <c r="J11" s="37">
        <v>4.7</v>
      </c>
      <c r="K11" s="56">
        <v>28</v>
      </c>
      <c r="L11" s="56">
        <v>11218</v>
      </c>
      <c r="M11" s="56">
        <v>10928</v>
      </c>
      <c r="N11" s="221">
        <v>-2.5851310394009626E-2</v>
      </c>
      <c r="O11" s="222">
        <v>11.625531914893617</v>
      </c>
      <c r="P11" s="37" t="s">
        <v>216</v>
      </c>
      <c r="Q11" s="221">
        <v>6.4589052155659618E-2</v>
      </c>
    </row>
    <row r="15" spans="1:20">
      <c r="A15" s="323" t="s">
        <v>437</v>
      </c>
      <c r="B15" s="323"/>
    </row>
    <row r="16" spans="1:20">
      <c r="A16" s="323"/>
      <c r="B16" s="323"/>
    </row>
  </sheetData>
  <mergeCells count="1">
    <mergeCell ref="A15:B16"/>
  </mergeCells>
  <phoneticPr fontId="3" type="noConversion"/>
  <pageMargins left="0.75" right="0.75" top="1" bottom="1" header="0.5" footer="0.5"/>
  <pageSetup orientation="portrait" horizontalDpi="300" verticalDpi="300" r:id="rId1"/>
  <headerFooter alignWithMargins="0">
    <oddHeader>&amp;CStephanie Agbenorhevi</oddHead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dimension ref="A1:J47"/>
  <sheetViews>
    <sheetView view="pageLayout" zoomScaleNormal="100" workbookViewId="0">
      <selection activeCell="M17" sqref="M17:M29"/>
    </sheetView>
  </sheetViews>
  <sheetFormatPr baseColWidth="10" defaultColWidth="8.83203125" defaultRowHeight="13"/>
  <cols>
    <col min="1" max="1" width="16.6640625" bestFit="1" customWidth="1"/>
    <col min="2" max="2" width="18.6640625" bestFit="1" customWidth="1"/>
    <col min="3" max="3" width="10" bestFit="1" customWidth="1"/>
    <col min="4" max="4" width="6.1640625" bestFit="1" customWidth="1"/>
    <col min="5" max="5" width="10.6640625" bestFit="1" customWidth="1"/>
    <col min="6" max="6" width="9.33203125" bestFit="1" customWidth="1"/>
    <col min="7" max="7" width="12.5" bestFit="1" customWidth="1"/>
    <col min="8" max="8" width="11.83203125" bestFit="1" customWidth="1"/>
    <col min="9" max="9" width="12.6640625" bestFit="1" customWidth="1"/>
    <col min="10" max="10" width="9" bestFit="1" customWidth="1"/>
    <col min="11" max="11" width="8.1640625" bestFit="1" customWidth="1"/>
    <col min="12" max="12" width="10.6640625" bestFit="1" customWidth="1"/>
    <col min="13" max="37" width="15.83203125" bestFit="1" customWidth="1"/>
    <col min="38" max="38" width="10.6640625" bestFit="1" customWidth="1"/>
  </cols>
  <sheetData>
    <row r="1" spans="1:10" ht="18">
      <c r="A1" s="68" t="s">
        <v>135</v>
      </c>
      <c r="B1" s="69"/>
      <c r="C1" s="69"/>
      <c r="D1" s="69"/>
      <c r="E1" s="69"/>
      <c r="F1" s="69"/>
      <c r="G1" s="69"/>
      <c r="H1" s="69"/>
      <c r="I1" s="69"/>
      <c r="J1" s="69"/>
    </row>
    <row r="3" spans="1:10">
      <c r="A3" s="168" t="s">
        <v>211</v>
      </c>
      <c r="B3" t="s">
        <v>233</v>
      </c>
    </row>
    <row r="4" spans="1:10">
      <c r="A4" s="169" t="s">
        <v>6</v>
      </c>
      <c r="B4" s="170">
        <v>9959</v>
      </c>
    </row>
    <row r="5" spans="1:10">
      <c r="A5" s="169" t="s">
        <v>10</v>
      </c>
      <c r="B5" s="170">
        <v>39499</v>
      </c>
    </row>
    <row r="6" spans="1:10">
      <c r="A6" s="169" t="s">
        <v>7</v>
      </c>
      <c r="B6" s="170">
        <v>34112</v>
      </c>
    </row>
    <row r="7" spans="1:10">
      <c r="A7" s="169" t="s">
        <v>12</v>
      </c>
      <c r="B7" s="170">
        <v>41598.06</v>
      </c>
    </row>
    <row r="8" spans="1:10">
      <c r="A8" s="169" t="s">
        <v>14</v>
      </c>
      <c r="B8" s="170">
        <v>6799.4000000000005</v>
      </c>
    </row>
    <row r="9" spans="1:10">
      <c r="A9" s="169" t="s">
        <v>15</v>
      </c>
      <c r="B9" s="170">
        <v>1525.5</v>
      </c>
    </row>
    <row r="10" spans="1:10">
      <c r="A10" s="169" t="s">
        <v>9</v>
      </c>
      <c r="B10" s="170">
        <v>4140.8</v>
      </c>
    </row>
    <row r="11" spans="1:10">
      <c r="A11" s="169" t="s">
        <v>11</v>
      </c>
      <c r="B11" s="170">
        <v>8306</v>
      </c>
    </row>
    <row r="12" spans="1:10">
      <c r="A12" s="169" t="s">
        <v>8</v>
      </c>
      <c r="B12" s="170">
        <v>6739.5</v>
      </c>
    </row>
    <row r="13" spans="1:10">
      <c r="A13" s="169" t="s">
        <v>13</v>
      </c>
      <c r="B13" s="170">
        <v>68309.5</v>
      </c>
    </row>
    <row r="14" spans="1:10">
      <c r="A14" s="169" t="s">
        <v>212</v>
      </c>
      <c r="B14" s="170">
        <v>220988.75999999998</v>
      </c>
    </row>
    <row r="46" spans="1:4">
      <c r="A46" s="324" t="s">
        <v>436</v>
      </c>
      <c r="B46" s="324"/>
      <c r="C46" s="324"/>
      <c r="D46" s="241"/>
    </row>
    <row r="47" spans="1:4">
      <c r="A47" s="324"/>
      <c r="B47" s="324"/>
      <c r="C47" s="324"/>
    </row>
  </sheetData>
  <mergeCells count="1">
    <mergeCell ref="A46:C47"/>
  </mergeCells>
  <phoneticPr fontId="3" type="noConversion"/>
  <pageMargins left="0.75" right="0.75" top="1" bottom="1" header="0.5" footer="0.5"/>
  <pageSetup orientation="portrait" horizontalDpi="0" verticalDpi="0"/>
  <headerFooter alignWithMargins="0">
    <oddHeader>&amp;CStephanie Agbenorhevi</oddHead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9"/>
  <dimension ref="A1:H56"/>
  <sheetViews>
    <sheetView view="pageLayout" zoomScaleNormal="100" workbookViewId="0">
      <selection activeCell="E5" sqref="E5"/>
    </sheetView>
  </sheetViews>
  <sheetFormatPr baseColWidth="10" defaultColWidth="8.83203125" defaultRowHeight="13"/>
  <cols>
    <col min="1" max="1" width="18.33203125" customWidth="1"/>
    <col min="2" max="2" width="18.5" customWidth="1"/>
    <col min="3" max="3" width="15.33203125" customWidth="1"/>
  </cols>
  <sheetData>
    <row r="1" spans="1:8" ht="18">
      <c r="A1" s="70" t="s">
        <v>88</v>
      </c>
      <c r="B1" s="69"/>
      <c r="C1" s="69"/>
      <c r="D1" s="69"/>
      <c r="E1" s="69"/>
      <c r="F1" s="69"/>
      <c r="G1" s="3"/>
      <c r="H1" s="3"/>
    </row>
    <row r="3" spans="1:8">
      <c r="A3" s="1" t="s">
        <v>2</v>
      </c>
      <c r="B3" s="1" t="s">
        <v>3</v>
      </c>
      <c r="C3" s="1" t="s">
        <v>21</v>
      </c>
    </row>
    <row r="4" spans="1:8" ht="14">
      <c r="A4" s="77" t="s">
        <v>6</v>
      </c>
      <c r="B4" s="78">
        <v>100</v>
      </c>
      <c r="C4" s="156">
        <v>6816</v>
      </c>
    </row>
    <row r="5" spans="1:8" ht="28">
      <c r="A5" s="103" t="s">
        <v>223</v>
      </c>
      <c r="B5" s="78">
        <v>100</v>
      </c>
      <c r="C5" s="156">
        <v>6816</v>
      </c>
    </row>
    <row r="6" spans="1:8">
      <c r="A6" s="45" t="s">
        <v>10</v>
      </c>
      <c r="B6" s="23">
        <v>100</v>
      </c>
      <c r="C6" s="156">
        <v>1871.53</v>
      </c>
    </row>
    <row r="7" spans="1:8" ht="14">
      <c r="A7" s="225" t="s">
        <v>10</v>
      </c>
      <c r="B7" s="226">
        <v>50</v>
      </c>
      <c r="C7" s="227">
        <v>6377.5</v>
      </c>
    </row>
    <row r="8" spans="1:8" ht="14">
      <c r="A8" s="225" t="s">
        <v>10</v>
      </c>
      <c r="B8" s="226">
        <v>150</v>
      </c>
      <c r="C8" s="227">
        <v>4672</v>
      </c>
    </row>
    <row r="9" spans="1:8" ht="14">
      <c r="A9" s="225" t="s">
        <v>10</v>
      </c>
      <c r="B9" s="226">
        <v>200</v>
      </c>
      <c r="C9" s="227">
        <v>2892</v>
      </c>
    </row>
    <row r="10" spans="1:8" ht="14">
      <c r="A10" s="225" t="s">
        <v>10</v>
      </c>
      <c r="B10" s="226">
        <v>50</v>
      </c>
      <c r="C10" s="227">
        <v>890.82</v>
      </c>
    </row>
    <row r="11" spans="1:8" ht="14">
      <c r="A11" s="225" t="s">
        <v>10</v>
      </c>
      <c r="B11" s="226">
        <v>150</v>
      </c>
      <c r="C11" s="227">
        <v>7449.9999999999991</v>
      </c>
    </row>
    <row r="12" spans="1:8" ht="14">
      <c r="A12" s="225" t="s">
        <v>10</v>
      </c>
      <c r="B12" s="226">
        <v>100</v>
      </c>
      <c r="C12" s="227">
        <v>5880</v>
      </c>
    </row>
    <row r="13" spans="1:8" ht="14">
      <c r="A13" s="228" t="s">
        <v>224</v>
      </c>
      <c r="B13" s="226">
        <v>800</v>
      </c>
      <c r="C13" s="227">
        <v>30033.850000000002</v>
      </c>
    </row>
    <row r="14" spans="1:8" ht="14">
      <c r="A14" s="225" t="s">
        <v>7</v>
      </c>
      <c r="B14" s="226">
        <v>100</v>
      </c>
      <c r="C14" s="227">
        <v>3474</v>
      </c>
    </row>
    <row r="15" spans="1:8" ht="14">
      <c r="A15" s="225" t="s">
        <v>7</v>
      </c>
      <c r="B15" s="226">
        <v>200</v>
      </c>
      <c r="C15" s="227">
        <v>4658</v>
      </c>
    </row>
    <row r="16" spans="1:8" ht="14">
      <c r="A16" s="225" t="s">
        <v>7</v>
      </c>
      <c r="B16" s="226">
        <v>100</v>
      </c>
      <c r="C16" s="227">
        <v>7091</v>
      </c>
    </row>
    <row r="17" spans="1:3" ht="14">
      <c r="A17" s="225" t="s">
        <v>7</v>
      </c>
      <c r="B17" s="226">
        <v>100</v>
      </c>
      <c r="C17" s="227">
        <v>4900</v>
      </c>
    </row>
    <row r="18" spans="1:3" ht="14">
      <c r="A18" s="225" t="s">
        <v>7</v>
      </c>
      <c r="B18" s="226">
        <v>100</v>
      </c>
      <c r="C18" s="227">
        <v>2580.5500000000002</v>
      </c>
    </row>
    <row r="19" spans="1:3" ht="14">
      <c r="A19" s="228" t="s">
        <v>225</v>
      </c>
      <c r="B19" s="226">
        <v>600</v>
      </c>
      <c r="C19" s="227">
        <v>22703.55</v>
      </c>
    </row>
    <row r="20" spans="1:3">
      <c r="A20" s="229" t="s">
        <v>12</v>
      </c>
      <c r="B20" s="229">
        <v>100</v>
      </c>
      <c r="C20" s="227">
        <v>2881</v>
      </c>
    </row>
    <row r="21" spans="1:3">
      <c r="A21" s="229" t="s">
        <v>12</v>
      </c>
      <c r="B21" s="226">
        <v>100</v>
      </c>
      <c r="C21" s="227">
        <v>10576</v>
      </c>
    </row>
    <row r="22" spans="1:3" ht="14">
      <c r="A22" s="225" t="s">
        <v>12</v>
      </c>
      <c r="B22" s="226">
        <v>150</v>
      </c>
      <c r="C22" s="227">
        <v>3049</v>
      </c>
    </row>
    <row r="23" spans="1:3" ht="14">
      <c r="A23" s="225" t="s">
        <v>12</v>
      </c>
      <c r="B23" s="226">
        <v>88</v>
      </c>
      <c r="C23" s="227">
        <v>5751.52</v>
      </c>
    </row>
    <row r="24" spans="1:3" ht="14">
      <c r="A24" s="225" t="s">
        <v>12</v>
      </c>
      <c r="B24" s="226">
        <v>50</v>
      </c>
      <c r="C24" s="227">
        <v>1790.73</v>
      </c>
    </row>
    <row r="25" spans="1:3" ht="14">
      <c r="A25" s="228" t="s">
        <v>226</v>
      </c>
      <c r="B25" s="226">
        <v>488</v>
      </c>
      <c r="C25" s="227">
        <v>24048.25</v>
      </c>
    </row>
    <row r="26" spans="1:3" ht="14">
      <c r="A26" s="225" t="s">
        <v>14</v>
      </c>
      <c r="B26" s="226">
        <v>240</v>
      </c>
      <c r="C26" s="227">
        <v>2540.3520000000003</v>
      </c>
    </row>
    <row r="27" spans="1:3" ht="14">
      <c r="A27" s="225" t="s">
        <v>14</v>
      </c>
      <c r="B27" s="226">
        <v>250</v>
      </c>
      <c r="C27" s="227">
        <v>4830.5</v>
      </c>
    </row>
    <row r="28" spans="1:3" ht="14">
      <c r="A28" s="225" t="s">
        <v>14</v>
      </c>
      <c r="B28" s="226">
        <v>10</v>
      </c>
      <c r="C28" s="227">
        <v>210.68600000000001</v>
      </c>
    </row>
    <row r="29" spans="1:3" ht="14">
      <c r="A29" s="228" t="s">
        <v>227</v>
      </c>
      <c r="B29" s="226">
        <v>500</v>
      </c>
      <c r="C29" s="227">
        <v>7581.5380000000005</v>
      </c>
    </row>
    <row r="30" spans="1:3" ht="14">
      <c r="A30" s="225" t="s">
        <v>15</v>
      </c>
      <c r="B30" s="226">
        <v>50</v>
      </c>
      <c r="C30" s="227">
        <v>2990</v>
      </c>
    </row>
    <row r="31" spans="1:3" ht="14">
      <c r="A31" s="228" t="s">
        <v>228</v>
      </c>
      <c r="B31" s="226">
        <v>50</v>
      </c>
      <c r="C31" s="227">
        <v>2990</v>
      </c>
    </row>
    <row r="32" spans="1:3" ht="14">
      <c r="A32" s="225" t="s">
        <v>9</v>
      </c>
      <c r="B32" s="226">
        <v>30</v>
      </c>
      <c r="C32" s="227">
        <v>1228.0590000000002</v>
      </c>
    </row>
    <row r="33" spans="1:3" ht="14">
      <c r="A33" s="225" t="s">
        <v>9</v>
      </c>
      <c r="B33" s="226">
        <v>50</v>
      </c>
      <c r="C33" s="227">
        <v>1188.77</v>
      </c>
    </row>
    <row r="34" spans="1:3" ht="14">
      <c r="A34" s="228" t="s">
        <v>229</v>
      </c>
      <c r="B34" s="226">
        <v>80</v>
      </c>
      <c r="C34" s="227">
        <v>2416.8290000000002</v>
      </c>
    </row>
    <row r="35" spans="1:3" ht="14">
      <c r="A35" s="225" t="s">
        <v>11</v>
      </c>
      <c r="B35" s="226">
        <v>100</v>
      </c>
      <c r="C35" s="227">
        <v>5676</v>
      </c>
    </row>
    <row r="36" spans="1:3" ht="14">
      <c r="A36" s="225" t="s">
        <v>11</v>
      </c>
      <c r="B36" s="226">
        <v>100</v>
      </c>
      <c r="C36" s="227">
        <v>3450.9999999999995</v>
      </c>
    </row>
    <row r="37" spans="1:3" ht="14">
      <c r="A37" s="225" t="s">
        <v>11</v>
      </c>
      <c r="B37" s="226">
        <v>50</v>
      </c>
      <c r="C37" s="227">
        <v>662.05499999999995</v>
      </c>
    </row>
    <row r="38" spans="1:3" ht="14">
      <c r="A38" s="228" t="s">
        <v>230</v>
      </c>
      <c r="B38" s="226">
        <v>250</v>
      </c>
      <c r="C38" s="227">
        <v>9789.0550000000003</v>
      </c>
    </row>
    <row r="39" spans="1:3" ht="14">
      <c r="A39" s="225" t="s">
        <v>8</v>
      </c>
      <c r="B39" s="226">
        <v>100</v>
      </c>
      <c r="C39" s="227">
        <v>6969</v>
      </c>
    </row>
    <row r="40" spans="1:3" ht="14">
      <c r="A40" s="225" t="s">
        <v>8</v>
      </c>
      <c r="B40" s="226">
        <v>50</v>
      </c>
      <c r="C40" s="227">
        <v>1141.8050000000001</v>
      </c>
    </row>
    <row r="41" spans="1:3" ht="14">
      <c r="A41" s="225" t="s">
        <v>8</v>
      </c>
      <c r="B41" s="226">
        <v>100</v>
      </c>
      <c r="C41" s="227">
        <v>4391</v>
      </c>
    </row>
    <row r="42" spans="1:3" ht="14">
      <c r="A42" s="225" t="s">
        <v>8</v>
      </c>
      <c r="B42" s="226">
        <v>100</v>
      </c>
      <c r="C42" s="227">
        <v>8589</v>
      </c>
    </row>
    <row r="43" spans="1:3" ht="14">
      <c r="A43" s="228" t="s">
        <v>231</v>
      </c>
      <c r="B43" s="226">
        <v>350</v>
      </c>
      <c r="C43" s="227">
        <v>21090.805</v>
      </c>
    </row>
    <row r="44" spans="1:3" ht="14">
      <c r="A44" s="225" t="s">
        <v>13</v>
      </c>
      <c r="B44" s="226">
        <v>200</v>
      </c>
      <c r="C44" s="227">
        <v>9924</v>
      </c>
    </row>
    <row r="45" spans="1:3" ht="14">
      <c r="A45" s="225" t="s">
        <v>13</v>
      </c>
      <c r="B45" s="226">
        <v>150</v>
      </c>
      <c r="C45" s="227">
        <v>4450</v>
      </c>
    </row>
    <row r="46" spans="1:3" ht="14">
      <c r="A46" s="225" t="s">
        <v>13</v>
      </c>
      <c r="B46" s="226">
        <v>150</v>
      </c>
      <c r="C46" s="227">
        <v>7229.5</v>
      </c>
    </row>
    <row r="47" spans="1:3" ht="14">
      <c r="A47" s="225" t="s">
        <v>13</v>
      </c>
      <c r="B47" s="226">
        <v>100</v>
      </c>
      <c r="C47" s="227">
        <v>5681</v>
      </c>
    </row>
    <row r="48" spans="1:3" ht="14">
      <c r="A48" s="225" t="s">
        <v>13</v>
      </c>
      <c r="B48" s="226">
        <v>150</v>
      </c>
      <c r="C48" s="227">
        <v>8758</v>
      </c>
    </row>
    <row r="49" spans="1:3" ht="14">
      <c r="A49" s="225" t="s">
        <v>13</v>
      </c>
      <c r="B49" s="226">
        <v>200</v>
      </c>
      <c r="C49" s="227">
        <v>11218</v>
      </c>
    </row>
    <row r="50" spans="1:3" ht="14">
      <c r="A50" s="228" t="s">
        <v>232</v>
      </c>
      <c r="B50" s="226">
        <v>950</v>
      </c>
      <c r="C50" s="227">
        <v>47260.5</v>
      </c>
    </row>
    <row r="51" spans="1:3" ht="14">
      <c r="A51" s="228" t="s">
        <v>212</v>
      </c>
      <c r="B51" s="226">
        <v>4168</v>
      </c>
      <c r="C51" s="227">
        <v>174730.37699999998</v>
      </c>
    </row>
    <row r="55" spans="1:3">
      <c r="A55" s="324" t="s">
        <v>435</v>
      </c>
      <c r="B55" s="324"/>
    </row>
    <row r="56" spans="1:3">
      <c r="A56" s="324"/>
      <c r="B56" s="324"/>
    </row>
  </sheetData>
  <mergeCells count="1">
    <mergeCell ref="A55:B56"/>
  </mergeCells>
  <phoneticPr fontId="3" type="noConversion"/>
  <pageMargins left="0.75" right="0.75" top="1" bottom="1" header="0.5" footer="0.5"/>
  <pageSetup orientation="portrait" horizontalDpi="0" verticalDpi="0"/>
  <headerFooter alignWithMargins="0">
    <oddHeader>&amp;CStephanie Agbenorhevi</oddHead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dimension ref="A1:M41"/>
  <sheetViews>
    <sheetView view="pageLayout" zoomScaleNormal="100" workbookViewId="0">
      <selection activeCell="Q17" sqref="Q17"/>
    </sheetView>
  </sheetViews>
  <sheetFormatPr baseColWidth="10" defaultColWidth="8.83203125" defaultRowHeight="13"/>
  <sheetData>
    <row r="1" spans="1:13" ht="22.5" customHeight="1">
      <c r="A1" s="61" t="s">
        <v>181</v>
      </c>
      <c r="B1" s="62"/>
      <c r="C1" s="62"/>
      <c r="D1" s="62"/>
      <c r="E1" s="62"/>
      <c r="F1" s="62"/>
      <c r="G1" s="62"/>
      <c r="H1" s="62"/>
      <c r="I1" s="62"/>
      <c r="J1" s="62"/>
      <c r="K1" s="62"/>
      <c r="L1" s="63"/>
      <c r="M1" s="60"/>
    </row>
    <row r="28" spans="1:7">
      <c r="A28" s="149"/>
      <c r="B28" s="3"/>
      <c r="C28" s="3"/>
      <c r="D28" s="3"/>
      <c r="E28" s="3"/>
      <c r="F28" s="3"/>
      <c r="G28" s="3"/>
    </row>
    <row r="36" spans="1:3">
      <c r="A36" s="298" t="s">
        <v>196</v>
      </c>
      <c r="B36" s="298"/>
    </row>
    <row r="40" spans="1:3">
      <c r="A40" s="324" t="s">
        <v>434</v>
      </c>
      <c r="B40" s="324"/>
      <c r="C40" s="324"/>
    </row>
    <row r="41" spans="1:3">
      <c r="A41" s="324"/>
      <c r="B41" s="324"/>
      <c r="C41" s="324"/>
    </row>
  </sheetData>
  <mergeCells count="2">
    <mergeCell ref="A36:B36"/>
    <mergeCell ref="A40:C41"/>
  </mergeCells>
  <phoneticPr fontId="3" type="noConversion"/>
  <pageMargins left="0.75" right="0.75" top="1" bottom="1" header="0.5" footer="0.5"/>
  <pageSetup orientation="portrait" horizontalDpi="0" verticalDpi="0"/>
  <headerFooter alignWithMargins="0">
    <oddHeader>&amp;CStephanie Agbenorhevi</oddHeader>
  </headerFooter>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dimension ref="B32:E33"/>
  <sheetViews>
    <sheetView view="pageLayout" zoomScaleNormal="100" workbookViewId="0">
      <selection activeCell="B32" sqref="B32:E33"/>
    </sheetView>
  </sheetViews>
  <sheetFormatPr baseColWidth="10" defaultColWidth="8.83203125" defaultRowHeight="13"/>
  <sheetData>
    <row r="32" spans="2:5">
      <c r="B32" s="324" t="s">
        <v>433</v>
      </c>
      <c r="C32" s="324"/>
      <c r="D32" s="324"/>
      <c r="E32" s="324"/>
    </row>
    <row r="33" spans="2:5">
      <c r="B33" s="324"/>
      <c r="C33" s="324"/>
      <c r="D33" s="324"/>
      <c r="E33" s="324"/>
    </row>
  </sheetData>
  <mergeCells count="1">
    <mergeCell ref="B32:E33"/>
  </mergeCells>
  <pageMargins left="0.7" right="0.7" top="0.75" bottom="0.75" header="0.3" footer="0.3"/>
  <pageSetup orientation="portrait" horizontalDpi="0" verticalDpi="0"/>
  <headerFooter>
    <oddHeader>&amp;CStephanie Agbenorhevi</oddHeader>
  </headerFooter>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1"/>
  <dimension ref="A1:F70"/>
  <sheetViews>
    <sheetView view="pageLayout" zoomScaleNormal="100" workbookViewId="0">
      <selection activeCell="A69" sqref="A69:D70"/>
    </sheetView>
  </sheetViews>
  <sheetFormatPr baseColWidth="10" defaultColWidth="8.83203125" defaultRowHeight="13"/>
  <cols>
    <col min="1" max="1" width="10.1640625" bestFit="1" customWidth="1"/>
    <col min="2" max="2" width="10.1640625" customWidth="1"/>
    <col min="3" max="5" width="11.5" bestFit="1" customWidth="1"/>
    <col min="6" max="6" width="15" customWidth="1"/>
  </cols>
  <sheetData>
    <row r="1" spans="1:6">
      <c r="A1" s="90" t="s">
        <v>127</v>
      </c>
      <c r="B1" s="90" t="s">
        <v>128</v>
      </c>
      <c r="C1" s="90" t="s">
        <v>56</v>
      </c>
      <c r="D1" s="90" t="s">
        <v>57</v>
      </c>
      <c r="E1" s="90" t="s">
        <v>129</v>
      </c>
      <c r="F1" s="90" t="s">
        <v>58</v>
      </c>
    </row>
    <row r="2" spans="1:6">
      <c r="A2" s="121">
        <v>42684</v>
      </c>
      <c r="B2" s="122">
        <v>39.669998</v>
      </c>
      <c r="C2" s="122">
        <v>40.159999999999997</v>
      </c>
      <c r="D2" s="122">
        <v>39.419998</v>
      </c>
      <c r="E2" s="122">
        <v>39.900002000000001</v>
      </c>
      <c r="F2" s="123">
        <v>5776900</v>
      </c>
    </row>
    <row r="3" spans="1:6">
      <c r="A3" s="121">
        <v>42683</v>
      </c>
      <c r="B3" s="122">
        <v>40.18</v>
      </c>
      <c r="C3" s="122">
        <v>40.599997999999999</v>
      </c>
      <c r="D3" s="122">
        <v>39.599997999999999</v>
      </c>
      <c r="E3" s="122">
        <v>40.400002000000001</v>
      </c>
      <c r="F3" s="123">
        <v>7359600</v>
      </c>
    </row>
    <row r="4" spans="1:6">
      <c r="A4" s="121">
        <v>42682</v>
      </c>
      <c r="B4" s="122">
        <v>38.990001999999997</v>
      </c>
      <c r="C4" s="122">
        <v>39.400002000000001</v>
      </c>
      <c r="D4" s="122">
        <v>38.93</v>
      </c>
      <c r="E4" s="122">
        <v>39.139999000000003</v>
      </c>
      <c r="F4" s="123">
        <v>3381700</v>
      </c>
    </row>
    <row r="5" spans="1:6">
      <c r="A5" s="121">
        <v>42681</v>
      </c>
      <c r="B5" s="122">
        <v>38.889999000000003</v>
      </c>
      <c r="C5" s="122">
        <v>39</v>
      </c>
      <c r="D5" s="122">
        <v>38.759998000000003</v>
      </c>
      <c r="E5" s="122">
        <v>38.840000000000003</v>
      </c>
      <c r="F5" s="123">
        <v>3327400</v>
      </c>
    </row>
    <row r="6" spans="1:6">
      <c r="A6" s="121">
        <v>42678</v>
      </c>
      <c r="B6" s="122">
        <v>38.779998999999997</v>
      </c>
      <c r="C6" s="122">
        <v>38.880001</v>
      </c>
      <c r="D6" s="122">
        <v>38.560001</v>
      </c>
      <c r="E6" s="122">
        <v>38.630001</v>
      </c>
      <c r="F6" s="123">
        <v>4027100</v>
      </c>
    </row>
    <row r="7" spans="1:6">
      <c r="A7" s="121">
        <v>42677</v>
      </c>
      <c r="B7" s="122">
        <v>39.630001</v>
      </c>
      <c r="C7" s="122">
        <v>39.669998</v>
      </c>
      <c r="D7" s="122">
        <v>38.720001000000003</v>
      </c>
      <c r="E7" s="122">
        <v>38.740001999999997</v>
      </c>
      <c r="F7" s="123">
        <v>4225600</v>
      </c>
    </row>
    <row r="8" spans="1:6">
      <c r="A8" s="121">
        <v>42676</v>
      </c>
      <c r="B8" s="122">
        <v>39.869999</v>
      </c>
      <c r="C8" s="122">
        <v>39.909999999999997</v>
      </c>
      <c r="D8" s="122">
        <v>39.43</v>
      </c>
      <c r="E8" s="122">
        <v>39.490001999999997</v>
      </c>
      <c r="F8" s="123">
        <v>4918400</v>
      </c>
    </row>
    <row r="9" spans="1:6">
      <c r="A9" s="121">
        <v>42675</v>
      </c>
      <c r="B9" s="122">
        <v>39.869999</v>
      </c>
      <c r="C9" s="122">
        <v>40.110000999999997</v>
      </c>
      <c r="D9" s="122">
        <v>39.639999000000003</v>
      </c>
      <c r="E9" s="122">
        <v>39.849997999999999</v>
      </c>
      <c r="F9" s="123">
        <v>4376300</v>
      </c>
    </row>
    <row r="10" spans="1:6">
      <c r="A10" s="121">
        <v>42674</v>
      </c>
      <c r="B10" s="122">
        <v>39.799999</v>
      </c>
      <c r="C10" s="122">
        <v>40.150002000000001</v>
      </c>
      <c r="D10" s="122">
        <v>39.610000999999997</v>
      </c>
      <c r="E10" s="122">
        <v>40.009998000000003</v>
      </c>
      <c r="F10" s="123">
        <v>3762200</v>
      </c>
    </row>
    <row r="11" spans="1:6">
      <c r="A11" s="121">
        <v>42671</v>
      </c>
      <c r="B11" s="122">
        <v>40.389999000000003</v>
      </c>
      <c r="C11" s="122">
        <v>40.439999</v>
      </c>
      <c r="D11" s="122">
        <v>40.009998000000003</v>
      </c>
      <c r="E11" s="122">
        <v>40.139999000000003</v>
      </c>
      <c r="F11" s="123">
        <v>4250600</v>
      </c>
    </row>
    <row r="12" spans="1:6">
      <c r="A12" s="121">
        <v>42670</v>
      </c>
      <c r="B12" s="122">
        <v>40.560001</v>
      </c>
      <c r="C12" s="122">
        <v>40.709999000000003</v>
      </c>
      <c r="D12" s="122">
        <v>40.099997999999999</v>
      </c>
      <c r="E12" s="122">
        <v>40.419998</v>
      </c>
      <c r="F12" s="123">
        <v>4985200</v>
      </c>
    </row>
    <row r="13" spans="1:6">
      <c r="A13" s="121">
        <v>42669</v>
      </c>
      <c r="B13" s="122">
        <v>39.740001999999997</v>
      </c>
      <c r="C13" s="122">
        <v>40.479999999999997</v>
      </c>
      <c r="D13" s="122">
        <v>39.560001</v>
      </c>
      <c r="E13" s="122">
        <v>40.340000000000003</v>
      </c>
      <c r="F13" s="123">
        <v>5428900</v>
      </c>
    </row>
    <row r="14" spans="1:6">
      <c r="A14" s="121">
        <v>42668</v>
      </c>
      <c r="B14" s="122">
        <v>40.450001</v>
      </c>
      <c r="C14" s="122">
        <v>40.509998000000003</v>
      </c>
      <c r="D14" s="122">
        <v>40.189999</v>
      </c>
      <c r="E14" s="122">
        <v>40.32</v>
      </c>
      <c r="F14" s="123">
        <v>6494700</v>
      </c>
    </row>
    <row r="15" spans="1:6">
      <c r="A15" s="121">
        <v>42667</v>
      </c>
      <c r="B15" s="122">
        <v>40.900002000000001</v>
      </c>
      <c r="C15" s="122">
        <v>41.02</v>
      </c>
      <c r="D15" s="122">
        <v>40.650002000000001</v>
      </c>
      <c r="E15" s="122">
        <v>40.68</v>
      </c>
      <c r="F15" s="123">
        <v>3094100</v>
      </c>
    </row>
    <row r="16" spans="1:6">
      <c r="A16" s="121">
        <v>42664</v>
      </c>
      <c r="B16" s="122">
        <v>41.009998000000003</v>
      </c>
      <c r="C16" s="122">
        <v>41.25</v>
      </c>
      <c r="D16" s="122">
        <v>40.959999000000003</v>
      </c>
      <c r="E16" s="122">
        <v>41.130001</v>
      </c>
      <c r="F16" s="123">
        <v>2301700</v>
      </c>
    </row>
    <row r="17" spans="1:6">
      <c r="A17" s="121">
        <v>42663</v>
      </c>
      <c r="B17" s="122">
        <v>41.110000999999997</v>
      </c>
      <c r="C17" s="122">
        <v>41.599997999999999</v>
      </c>
      <c r="D17" s="122">
        <v>41.09</v>
      </c>
      <c r="E17" s="122">
        <v>41.43</v>
      </c>
      <c r="F17" s="123">
        <v>3432200</v>
      </c>
    </row>
    <row r="18" spans="1:6">
      <c r="A18" s="121">
        <v>42662</v>
      </c>
      <c r="B18" s="122">
        <v>41.529998999999997</v>
      </c>
      <c r="C18" s="122">
        <v>41.709999000000003</v>
      </c>
      <c r="D18" s="122">
        <v>41.439999</v>
      </c>
      <c r="E18" s="122">
        <v>41.490001999999997</v>
      </c>
      <c r="F18" s="123">
        <v>2309000</v>
      </c>
    </row>
    <row r="19" spans="1:6">
      <c r="A19" s="121">
        <v>42661</v>
      </c>
      <c r="B19" s="122">
        <v>41.610000999999997</v>
      </c>
      <c r="C19" s="122">
        <v>41.799999</v>
      </c>
      <c r="D19" s="122">
        <v>41.540000999999997</v>
      </c>
      <c r="E19" s="122">
        <v>41.759998000000003</v>
      </c>
      <c r="F19" s="123">
        <v>2485500</v>
      </c>
    </row>
    <row r="20" spans="1:6">
      <c r="A20" s="121">
        <v>42660</v>
      </c>
      <c r="B20" s="122">
        <v>41.310001</v>
      </c>
      <c r="C20" s="122">
        <v>41.5</v>
      </c>
      <c r="D20" s="122">
        <v>41.189999</v>
      </c>
      <c r="E20" s="122">
        <v>41.189999</v>
      </c>
      <c r="F20" s="123">
        <v>3856000</v>
      </c>
    </row>
    <row r="21" spans="1:6">
      <c r="A21" s="121">
        <v>42657</v>
      </c>
      <c r="B21" s="122">
        <v>41.93</v>
      </c>
      <c r="C21" s="122">
        <v>42.029998999999997</v>
      </c>
      <c r="D21" s="122">
        <v>41.68</v>
      </c>
      <c r="E21" s="122">
        <v>41.68</v>
      </c>
      <c r="F21" s="123">
        <v>3538600</v>
      </c>
    </row>
    <row r="22" spans="1:6">
      <c r="A22" s="121">
        <v>42656</v>
      </c>
      <c r="B22" s="122">
        <v>41.639999000000003</v>
      </c>
      <c r="C22" s="122">
        <v>42.580002</v>
      </c>
      <c r="D22" s="122">
        <v>41.599997999999999</v>
      </c>
      <c r="E22" s="122">
        <v>42.389999000000003</v>
      </c>
      <c r="F22" s="123">
        <v>3863000</v>
      </c>
    </row>
    <row r="23" spans="1:6">
      <c r="A23" s="121">
        <v>42655</v>
      </c>
      <c r="B23" s="122">
        <v>42.130001</v>
      </c>
      <c r="C23" s="122">
        <v>42.189999</v>
      </c>
      <c r="D23" s="122">
        <v>41.849997999999999</v>
      </c>
      <c r="E23" s="122">
        <v>42.080002</v>
      </c>
      <c r="F23" s="123">
        <v>2347900</v>
      </c>
    </row>
    <row r="24" spans="1:6">
      <c r="A24" s="121">
        <v>42654</v>
      </c>
      <c r="B24" s="122">
        <v>42.849997999999999</v>
      </c>
      <c r="C24" s="122">
        <v>42.869999</v>
      </c>
      <c r="D24" s="122">
        <v>42.049999</v>
      </c>
      <c r="E24" s="122">
        <v>42.139999000000003</v>
      </c>
      <c r="F24" s="123">
        <v>3022700</v>
      </c>
    </row>
    <row r="25" spans="1:6">
      <c r="A25" s="121">
        <v>42653</v>
      </c>
      <c r="B25" s="122">
        <v>42.950001</v>
      </c>
      <c r="C25" s="122">
        <v>43.16</v>
      </c>
      <c r="D25" s="122">
        <v>42.939999</v>
      </c>
      <c r="E25" s="122">
        <v>43.040000999999997</v>
      </c>
      <c r="F25" s="123">
        <v>1581100</v>
      </c>
    </row>
    <row r="26" spans="1:6">
      <c r="A26" s="121">
        <v>42650</v>
      </c>
      <c r="B26" s="122">
        <v>42.779998999999997</v>
      </c>
      <c r="C26" s="122">
        <v>43.009998000000003</v>
      </c>
      <c r="D26" s="122">
        <v>42.68</v>
      </c>
      <c r="E26" s="122">
        <v>42.959999000000003</v>
      </c>
      <c r="F26" s="123">
        <v>2177700</v>
      </c>
    </row>
    <row r="27" spans="1:6">
      <c r="A27" s="121">
        <v>42649</v>
      </c>
      <c r="B27" s="122">
        <v>42.889999000000003</v>
      </c>
      <c r="C27" s="122">
        <v>43</v>
      </c>
      <c r="D27" s="122">
        <v>42.77</v>
      </c>
      <c r="E27" s="122">
        <v>42.900002000000001</v>
      </c>
      <c r="F27" s="123">
        <v>1711200</v>
      </c>
    </row>
    <row r="28" spans="1:6">
      <c r="A28" s="121">
        <v>42648</v>
      </c>
      <c r="B28" s="122">
        <v>43.330002</v>
      </c>
      <c r="C28" s="122">
        <v>43.439999</v>
      </c>
      <c r="D28" s="122">
        <v>43.200001</v>
      </c>
      <c r="E28" s="122">
        <v>43.330002</v>
      </c>
      <c r="F28" s="123">
        <v>2088500</v>
      </c>
    </row>
    <row r="29" spans="1:6">
      <c r="A29" s="121">
        <v>42647</v>
      </c>
      <c r="B29" s="122">
        <v>43.889999000000003</v>
      </c>
      <c r="C29" s="122">
        <v>43.919998</v>
      </c>
      <c r="D29" s="122">
        <v>43.23</v>
      </c>
      <c r="E29" s="122">
        <v>43.439999</v>
      </c>
      <c r="F29" s="123">
        <v>3260600</v>
      </c>
    </row>
    <row r="30" spans="1:6">
      <c r="A30" s="121">
        <v>42646</v>
      </c>
      <c r="B30" s="122">
        <v>43.220001000000003</v>
      </c>
      <c r="C30" s="122">
        <v>43.279998999999997</v>
      </c>
      <c r="D30" s="122">
        <v>42.98</v>
      </c>
      <c r="E30" s="122">
        <v>43.220001000000003</v>
      </c>
      <c r="F30" s="123">
        <v>2368200</v>
      </c>
    </row>
    <row r="31" spans="1:6">
      <c r="A31" s="121">
        <v>42643</v>
      </c>
      <c r="B31" s="122">
        <v>42.900002000000001</v>
      </c>
      <c r="C31" s="122">
        <v>43.27</v>
      </c>
      <c r="D31" s="122">
        <v>42.82</v>
      </c>
      <c r="E31" s="122">
        <v>43.130001</v>
      </c>
      <c r="F31" s="123">
        <v>2598400</v>
      </c>
    </row>
    <row r="32" spans="1:6">
      <c r="A32" s="121">
        <v>42642</v>
      </c>
      <c r="B32" s="122">
        <v>43.639999000000003</v>
      </c>
      <c r="C32" s="122">
        <v>43.669998</v>
      </c>
      <c r="D32" s="122">
        <v>42.759998000000003</v>
      </c>
      <c r="E32" s="122">
        <v>42.900002000000001</v>
      </c>
      <c r="F32" s="123">
        <v>3449100</v>
      </c>
    </row>
    <row r="33" spans="1:6">
      <c r="A33" s="121">
        <v>42641</v>
      </c>
      <c r="B33" s="122">
        <v>43.720001000000003</v>
      </c>
      <c r="C33" s="122">
        <v>43.779998999999997</v>
      </c>
      <c r="D33" s="122">
        <v>43.299999</v>
      </c>
      <c r="E33" s="122">
        <v>43.669998</v>
      </c>
      <c r="F33" s="123">
        <v>1969000</v>
      </c>
    </row>
    <row r="34" spans="1:6">
      <c r="A34" s="121">
        <v>42640</v>
      </c>
      <c r="B34" s="122">
        <v>42.830002</v>
      </c>
      <c r="C34" s="122">
        <v>43.34</v>
      </c>
      <c r="D34" s="122">
        <v>42.720001000000003</v>
      </c>
      <c r="E34" s="122">
        <v>43.32</v>
      </c>
      <c r="F34" s="123">
        <v>2084800</v>
      </c>
    </row>
    <row r="35" spans="1:6">
      <c r="A35" s="121">
        <v>42639</v>
      </c>
      <c r="B35" s="122">
        <v>43.09</v>
      </c>
      <c r="C35" s="122">
        <v>43.099997999999999</v>
      </c>
      <c r="D35" s="122">
        <v>42.869999</v>
      </c>
      <c r="E35" s="122">
        <v>42.959999000000003</v>
      </c>
      <c r="F35" s="123">
        <v>2057000</v>
      </c>
    </row>
    <row r="36" spans="1:6">
      <c r="A36" s="121">
        <v>42636</v>
      </c>
      <c r="B36" s="122">
        <v>43.200001</v>
      </c>
      <c r="C36" s="122">
        <v>43.529998999999997</v>
      </c>
      <c r="D36" s="122">
        <v>43.18</v>
      </c>
      <c r="E36" s="122">
        <v>43.419998</v>
      </c>
      <c r="F36" s="123">
        <v>2128100</v>
      </c>
    </row>
    <row r="37" spans="1:6">
      <c r="A37" s="121">
        <v>42635</v>
      </c>
      <c r="B37" s="122">
        <v>43.619999</v>
      </c>
      <c r="C37" s="122">
        <v>43.869999</v>
      </c>
      <c r="D37" s="122">
        <v>43.529998999999997</v>
      </c>
      <c r="E37" s="122">
        <v>43.580002</v>
      </c>
      <c r="F37" s="123">
        <v>1899100</v>
      </c>
    </row>
    <row r="38" spans="1:6">
      <c r="A38" s="121">
        <v>42634</v>
      </c>
      <c r="B38" s="122">
        <v>42.990001999999997</v>
      </c>
      <c r="C38" s="122">
        <v>43.259998000000003</v>
      </c>
      <c r="D38" s="122">
        <v>42.639999000000003</v>
      </c>
      <c r="E38" s="122">
        <v>43.209999000000003</v>
      </c>
      <c r="F38" s="123">
        <v>3228000</v>
      </c>
    </row>
    <row r="39" spans="1:6">
      <c r="A39" s="121">
        <v>42633</v>
      </c>
      <c r="B39" s="122">
        <v>43.32</v>
      </c>
      <c r="C39" s="122">
        <v>43.41</v>
      </c>
      <c r="D39" s="122">
        <v>43.02</v>
      </c>
      <c r="E39" s="122">
        <v>43.060001</v>
      </c>
      <c r="F39" s="123">
        <v>2581800</v>
      </c>
    </row>
    <row r="40" spans="1:6">
      <c r="A40" s="121">
        <v>42632</v>
      </c>
      <c r="B40" s="122">
        <v>43.459999000000003</v>
      </c>
      <c r="C40" s="122">
        <v>43.509998000000003</v>
      </c>
      <c r="D40" s="122">
        <v>43.220001000000003</v>
      </c>
      <c r="E40" s="122">
        <v>43.299999</v>
      </c>
      <c r="F40" s="123">
        <v>2192500</v>
      </c>
    </row>
    <row r="41" spans="1:6">
      <c r="A41" s="121">
        <v>42629</v>
      </c>
      <c r="B41" s="122">
        <v>43.080002</v>
      </c>
      <c r="C41" s="122">
        <v>43.220001000000003</v>
      </c>
      <c r="D41" s="122">
        <v>42.700001</v>
      </c>
      <c r="E41" s="122">
        <v>42.880001</v>
      </c>
      <c r="F41" s="123">
        <v>3206100</v>
      </c>
    </row>
    <row r="42" spans="1:6">
      <c r="A42" s="121">
        <v>42628</v>
      </c>
      <c r="B42" s="122">
        <v>43.130001</v>
      </c>
      <c r="C42" s="122">
        <v>43.619999</v>
      </c>
      <c r="D42" s="122">
        <v>42.950001</v>
      </c>
      <c r="E42" s="122">
        <v>43.540000999999997</v>
      </c>
      <c r="F42" s="123">
        <v>1907300</v>
      </c>
    </row>
    <row r="43" spans="1:6">
      <c r="A43" s="121">
        <v>42627</v>
      </c>
      <c r="B43" s="122">
        <v>43.009998000000003</v>
      </c>
      <c r="C43" s="122">
        <v>43.23</v>
      </c>
      <c r="D43" s="122">
        <v>42.810001</v>
      </c>
      <c r="E43" s="122">
        <v>43.150002000000001</v>
      </c>
      <c r="F43" s="123">
        <v>2719600</v>
      </c>
    </row>
    <row r="44" spans="1:6">
      <c r="A44" s="121">
        <v>42626</v>
      </c>
      <c r="B44" s="122">
        <v>43.029998999999997</v>
      </c>
      <c r="C44" s="122">
        <v>43.07</v>
      </c>
      <c r="D44" s="122">
        <v>42.43</v>
      </c>
      <c r="E44" s="122">
        <v>42.509998000000003</v>
      </c>
      <c r="F44" s="123">
        <v>3655100</v>
      </c>
    </row>
    <row r="45" spans="1:6">
      <c r="A45" s="121">
        <v>42625</v>
      </c>
      <c r="B45" s="122">
        <v>42.5</v>
      </c>
      <c r="C45" s="122">
        <v>43.349997999999999</v>
      </c>
      <c r="D45" s="122">
        <v>42.48</v>
      </c>
      <c r="E45" s="122">
        <v>43.299999</v>
      </c>
      <c r="F45" s="123">
        <v>3214500</v>
      </c>
    </row>
    <row r="46" spans="1:6">
      <c r="A46" s="121">
        <v>42622</v>
      </c>
      <c r="B46" s="122">
        <v>42.91</v>
      </c>
      <c r="C46" s="122">
        <v>43</v>
      </c>
      <c r="D46" s="122">
        <v>42.5</v>
      </c>
      <c r="E46" s="122">
        <v>42.5</v>
      </c>
      <c r="F46" s="123">
        <v>3425600</v>
      </c>
    </row>
    <row r="47" spans="1:6">
      <c r="A47" s="121">
        <v>42621</v>
      </c>
      <c r="B47" s="122">
        <v>43.66</v>
      </c>
      <c r="C47" s="122">
        <v>43.810001</v>
      </c>
      <c r="D47" s="122">
        <v>43.560001</v>
      </c>
      <c r="E47" s="122">
        <v>43.650002000000001</v>
      </c>
      <c r="F47" s="123">
        <v>2393700</v>
      </c>
    </row>
    <row r="48" spans="1:6">
      <c r="A48" s="121">
        <v>42620</v>
      </c>
      <c r="B48" s="122">
        <v>43.73</v>
      </c>
      <c r="C48" s="122">
        <v>44.02</v>
      </c>
      <c r="D48" s="122">
        <v>43.73</v>
      </c>
      <c r="E48" s="122">
        <v>43.82</v>
      </c>
      <c r="F48" s="123">
        <v>3081000</v>
      </c>
    </row>
    <row r="49" spans="1:6">
      <c r="A49" s="121">
        <v>42619</v>
      </c>
      <c r="B49" s="122">
        <v>44.080002</v>
      </c>
      <c r="C49" s="122">
        <v>44.200001</v>
      </c>
      <c r="D49" s="122">
        <v>43.880001</v>
      </c>
      <c r="E49" s="122">
        <v>43.990001999999997</v>
      </c>
      <c r="F49" s="123">
        <v>2944200</v>
      </c>
    </row>
    <row r="50" spans="1:6">
      <c r="A50" s="121">
        <v>42615</v>
      </c>
      <c r="B50" s="122">
        <v>43.889999000000003</v>
      </c>
      <c r="C50" s="122">
        <v>44.459999000000003</v>
      </c>
      <c r="D50" s="122">
        <v>43.759998000000003</v>
      </c>
      <c r="E50" s="122">
        <v>44.259998000000003</v>
      </c>
      <c r="F50" s="123">
        <v>3915200</v>
      </c>
    </row>
    <row r="51" spans="1:6">
      <c r="A51" s="121">
        <v>42614</v>
      </c>
      <c r="B51" s="122">
        <v>43.07</v>
      </c>
      <c r="C51" s="122">
        <v>43.189999</v>
      </c>
      <c r="D51" s="122">
        <v>42.880001</v>
      </c>
      <c r="E51" s="122">
        <v>42.98</v>
      </c>
      <c r="F51" s="123">
        <v>3220800</v>
      </c>
    </row>
    <row r="52" spans="1:6">
      <c r="A52" s="121">
        <v>42613</v>
      </c>
      <c r="B52" s="122">
        <v>43.380001</v>
      </c>
      <c r="C52" s="122">
        <v>43.509998000000003</v>
      </c>
      <c r="D52" s="122">
        <v>43.25</v>
      </c>
      <c r="E52" s="122">
        <v>43.459999000000003</v>
      </c>
      <c r="F52" s="123">
        <v>2370400</v>
      </c>
    </row>
    <row r="53" spans="1:6">
      <c r="A53" s="121">
        <v>42612</v>
      </c>
      <c r="B53" s="122">
        <v>43.439999</v>
      </c>
      <c r="C53" s="122">
        <v>43.59</v>
      </c>
      <c r="D53" s="122">
        <v>43.349997999999999</v>
      </c>
      <c r="E53" s="122">
        <v>43.360000999999997</v>
      </c>
      <c r="F53" s="123">
        <v>1914100</v>
      </c>
    </row>
    <row r="54" spans="1:6">
      <c r="A54" s="121">
        <v>42611</v>
      </c>
      <c r="B54" s="122">
        <v>43.540000999999997</v>
      </c>
      <c r="C54" s="122">
        <v>43.700001</v>
      </c>
      <c r="D54" s="122">
        <v>43.389999000000003</v>
      </c>
      <c r="E54" s="122">
        <v>43.610000999999997</v>
      </c>
      <c r="F54" s="123">
        <v>2134000</v>
      </c>
    </row>
    <row r="55" spans="1:6">
      <c r="A55" s="121">
        <v>42608</v>
      </c>
      <c r="B55" s="122">
        <v>43.790000999999997</v>
      </c>
      <c r="C55" s="122">
        <v>44.189999</v>
      </c>
      <c r="D55" s="122">
        <v>43.43</v>
      </c>
      <c r="E55" s="122">
        <v>43.549999</v>
      </c>
      <c r="F55" s="123">
        <v>3571000</v>
      </c>
    </row>
    <row r="56" spans="1:6">
      <c r="A56" s="121">
        <v>42607</v>
      </c>
      <c r="B56" s="122">
        <v>44</v>
      </c>
      <c r="C56" s="122">
        <v>44.099997999999999</v>
      </c>
      <c r="D56" s="122">
        <v>43.650002000000001</v>
      </c>
      <c r="E56" s="122">
        <v>43.740001999999997</v>
      </c>
      <c r="F56" s="123">
        <v>2259900</v>
      </c>
    </row>
    <row r="57" spans="1:6">
      <c r="A57" s="121">
        <v>42606</v>
      </c>
      <c r="B57" s="122">
        <v>44.450001</v>
      </c>
      <c r="C57" s="122">
        <v>44.540000999999997</v>
      </c>
      <c r="D57" s="122">
        <v>43.82</v>
      </c>
      <c r="E57" s="122">
        <v>43.900002000000001</v>
      </c>
      <c r="F57" s="123">
        <v>2605900</v>
      </c>
    </row>
    <row r="58" spans="1:6">
      <c r="A58" s="121">
        <v>42605</v>
      </c>
      <c r="B58" s="122">
        <v>44.470001000000003</v>
      </c>
      <c r="C58" s="122">
        <v>44.5</v>
      </c>
      <c r="D58" s="122">
        <v>44.200001</v>
      </c>
      <c r="E58" s="122">
        <v>44.41</v>
      </c>
      <c r="F58" s="123">
        <v>2490900</v>
      </c>
    </row>
    <row r="59" spans="1:6">
      <c r="A59" s="121">
        <v>42604</v>
      </c>
      <c r="B59" s="122">
        <v>43.889999000000003</v>
      </c>
      <c r="C59" s="122">
        <v>44.290000999999997</v>
      </c>
      <c r="D59" s="122">
        <v>43.880001</v>
      </c>
      <c r="E59" s="122">
        <v>44.119999</v>
      </c>
      <c r="F59" s="123">
        <v>1874300</v>
      </c>
    </row>
    <row r="60" spans="1:6">
      <c r="A60" s="121">
        <v>42601</v>
      </c>
      <c r="B60" s="122">
        <v>44.02</v>
      </c>
      <c r="C60" s="122">
        <v>44.169998</v>
      </c>
      <c r="D60" s="122">
        <v>43.900002000000001</v>
      </c>
      <c r="E60" s="122">
        <v>44.16</v>
      </c>
      <c r="F60" s="123">
        <v>2321500</v>
      </c>
    </row>
    <row r="61" spans="1:6">
      <c r="A61" s="121">
        <v>42600</v>
      </c>
      <c r="B61" s="122">
        <v>44.52</v>
      </c>
      <c r="C61" s="122">
        <v>44.580002</v>
      </c>
      <c r="D61" s="122">
        <v>44.360000999999997</v>
      </c>
      <c r="E61" s="122">
        <v>44.490001999999997</v>
      </c>
      <c r="F61" s="123">
        <v>1526900</v>
      </c>
    </row>
    <row r="62" spans="1:6">
      <c r="A62" s="121">
        <v>42599</v>
      </c>
      <c r="B62" s="122">
        <v>44.5</v>
      </c>
      <c r="C62" s="122">
        <v>44.509998000000003</v>
      </c>
      <c r="D62" s="122">
        <v>44.07</v>
      </c>
      <c r="E62" s="122">
        <v>44.389999000000003</v>
      </c>
      <c r="F62" s="123">
        <v>1751700</v>
      </c>
    </row>
    <row r="63" spans="1:6">
      <c r="A63" s="121">
        <v>42598</v>
      </c>
      <c r="B63" s="122">
        <v>44.419998</v>
      </c>
      <c r="C63" s="122">
        <v>44.59</v>
      </c>
      <c r="D63" s="122">
        <v>44.32</v>
      </c>
      <c r="E63" s="122">
        <v>44.32</v>
      </c>
      <c r="F63" s="123">
        <v>2197300</v>
      </c>
    </row>
    <row r="64" spans="1:6">
      <c r="A64" s="121">
        <v>42597</v>
      </c>
      <c r="B64" s="122">
        <v>44.389999000000003</v>
      </c>
      <c r="C64" s="122">
        <v>44.59</v>
      </c>
      <c r="D64" s="122">
        <v>44.330002</v>
      </c>
      <c r="E64" s="122">
        <v>44.400002000000001</v>
      </c>
      <c r="F64" s="123">
        <v>2042300</v>
      </c>
    </row>
    <row r="65" spans="1:6">
      <c r="A65" s="121">
        <v>42594</v>
      </c>
      <c r="B65" s="122">
        <v>44.450001</v>
      </c>
      <c r="C65" s="122">
        <v>44.490001999999997</v>
      </c>
      <c r="D65" s="122">
        <v>44.029998999999997</v>
      </c>
      <c r="E65" s="122">
        <v>44.169998</v>
      </c>
      <c r="F65" s="123">
        <v>2369000</v>
      </c>
    </row>
    <row r="66" spans="1:6">
      <c r="A66" s="121">
        <v>42593</v>
      </c>
      <c r="B66" s="122">
        <v>44.25</v>
      </c>
      <c r="C66" s="122">
        <v>44.41</v>
      </c>
      <c r="D66" s="122">
        <v>44.150002000000001</v>
      </c>
      <c r="E66" s="122">
        <v>44.389999000000003</v>
      </c>
      <c r="F66" s="123">
        <v>1940600</v>
      </c>
    </row>
    <row r="67" spans="1:6">
      <c r="A67" s="121">
        <v>42592</v>
      </c>
      <c r="B67" s="122">
        <v>44.369999</v>
      </c>
      <c r="C67" s="122">
        <v>44.369999</v>
      </c>
      <c r="D67" s="122">
        <v>43.98</v>
      </c>
      <c r="E67" s="122">
        <v>44.130001</v>
      </c>
      <c r="F67" s="123">
        <v>2331100</v>
      </c>
    </row>
    <row r="69" spans="1:6">
      <c r="A69" s="324" t="s">
        <v>432</v>
      </c>
      <c r="B69" s="324"/>
      <c r="C69" s="324"/>
      <c r="D69" s="324"/>
    </row>
    <row r="70" spans="1:6">
      <c r="A70" s="324"/>
      <c r="B70" s="324"/>
      <c r="C70" s="324"/>
      <c r="D70" s="324"/>
    </row>
  </sheetData>
  <mergeCells count="1">
    <mergeCell ref="A69:D70"/>
  </mergeCells>
  <pageMargins left="0.7" right="0.7" top="0.75" bottom="0.75" header="0.3" footer="0.3"/>
  <pageSetup orientation="portrait" horizontalDpi="0" verticalDpi="0"/>
  <headerFooter>
    <oddHeader>&amp;CStephanie Agbenorhevi</oddHead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dimension ref="A1:R46"/>
  <sheetViews>
    <sheetView view="pageLayout" zoomScaleNormal="100" workbookViewId="0">
      <selection activeCell="B45" sqref="B45:D46"/>
    </sheetView>
  </sheetViews>
  <sheetFormatPr baseColWidth="10" defaultColWidth="8.83203125" defaultRowHeight="13"/>
  <cols>
    <col min="1" max="1" width="17.33203125" customWidth="1"/>
    <col min="2" max="2" width="16" customWidth="1"/>
    <col min="3" max="3" width="17.6640625" bestFit="1" customWidth="1"/>
    <col min="4" max="4" width="17" customWidth="1"/>
    <col min="5" max="5" width="16.83203125" customWidth="1"/>
    <col min="6" max="6" width="14.33203125" bestFit="1" customWidth="1"/>
    <col min="7" max="7" width="13.6640625" customWidth="1"/>
    <col min="8" max="8" width="21.33203125" customWidth="1"/>
    <col min="9" max="9" width="18.83203125" bestFit="1" customWidth="1"/>
    <col min="10" max="10" width="13.1640625" customWidth="1"/>
    <col min="11" max="11" width="16.6640625" customWidth="1"/>
    <col min="12" max="12" width="11.6640625" customWidth="1"/>
    <col min="13" max="13" width="11" customWidth="1"/>
    <col min="14" max="14" width="12.1640625" customWidth="1"/>
    <col min="17" max="17" width="19.33203125" customWidth="1"/>
    <col min="18" max="18" width="19" customWidth="1"/>
  </cols>
  <sheetData>
    <row r="1" spans="1:18">
      <c r="A1" s="82" t="s">
        <v>0</v>
      </c>
      <c r="B1" s="67" t="s">
        <v>171</v>
      </c>
      <c r="C1" s="150"/>
    </row>
    <row r="3" spans="1:18">
      <c r="A3" s="83" t="s">
        <v>1</v>
      </c>
      <c r="B3" s="83" t="s">
        <v>202</v>
      </c>
      <c r="C3" s="83" t="s">
        <v>3</v>
      </c>
      <c r="D3" s="83" t="s">
        <v>200</v>
      </c>
      <c r="E3" s="83" t="s">
        <v>201</v>
      </c>
    </row>
    <row r="4" spans="1:18" ht="14">
      <c r="A4" s="259" t="str">
        <f>VLOOKUP(B1,B10:R41,2,FALSE)</f>
        <v>Abbott Laboratories</v>
      </c>
      <c r="B4" s="223">
        <f>VLOOKUP(B1,B10:R41,6,FALSE)</f>
        <v>28.53</v>
      </c>
      <c r="C4" s="23">
        <f>VLOOKUP(B1,B10:R41,4,FALSE)</f>
        <v>100</v>
      </c>
      <c r="D4" s="23">
        <f>VLOOKUP(B1,B10:R41,10,FALSE)</f>
        <v>0.94</v>
      </c>
      <c r="E4" s="224">
        <f>VLOOKUP(B1,B10:R41,14,FALSE)</f>
        <v>0.5265532801110725</v>
      </c>
    </row>
    <row r="10" spans="1:18">
      <c r="B10" s="83" t="s">
        <v>0</v>
      </c>
      <c r="C10" s="83" t="s">
        <v>1</v>
      </c>
      <c r="D10" s="83" t="s">
        <v>2</v>
      </c>
      <c r="E10" s="83" t="s">
        <v>3</v>
      </c>
      <c r="F10" s="83" t="s">
        <v>4</v>
      </c>
      <c r="G10" s="83" t="s">
        <v>5</v>
      </c>
      <c r="H10" s="83" t="s">
        <v>16</v>
      </c>
      <c r="I10" s="83" t="s">
        <v>17</v>
      </c>
      <c r="J10" s="83" t="s">
        <v>18</v>
      </c>
      <c r="K10" s="83" t="s">
        <v>19</v>
      </c>
      <c r="L10" s="83" t="s">
        <v>20</v>
      </c>
      <c r="M10" s="83" t="s">
        <v>21</v>
      </c>
      <c r="N10" s="83" t="s">
        <v>23</v>
      </c>
      <c r="O10" s="83" t="s">
        <v>24</v>
      </c>
      <c r="P10" s="83" t="s">
        <v>25</v>
      </c>
      <c r="Q10" s="83" t="s">
        <v>26</v>
      </c>
      <c r="R10" s="83" t="s">
        <v>22</v>
      </c>
    </row>
    <row r="11" spans="1:18">
      <c r="B11" s="45" t="s">
        <v>171</v>
      </c>
      <c r="C11" s="45" t="s">
        <v>174</v>
      </c>
      <c r="D11" s="45" t="s">
        <v>12</v>
      </c>
      <c r="E11" s="45">
        <v>100</v>
      </c>
      <c r="F11" s="120">
        <v>40291</v>
      </c>
      <c r="G11" s="119">
        <v>28.53</v>
      </c>
      <c r="H11" s="173">
        <v>75323415209</v>
      </c>
      <c r="I11" s="174">
        <v>43.98</v>
      </c>
      <c r="J11" s="173">
        <v>43.59</v>
      </c>
      <c r="K11" s="39">
        <v>0.94</v>
      </c>
      <c r="L11" s="157">
        <f>IF((E11*G11*0.01)&gt;28,28,(E11*G11*0.01))</f>
        <v>28</v>
      </c>
      <c r="M11" s="156">
        <f>G11*E11+L11</f>
        <v>2881</v>
      </c>
      <c r="N11" s="156">
        <f>I11*E11</f>
        <v>4398</v>
      </c>
      <c r="O11" s="172">
        <f>(N11-M11)/M11</f>
        <v>0.5265532801110725</v>
      </c>
      <c r="P11" s="158">
        <f>IF(K11&lt;=0,0,(I11/K11))</f>
        <v>46.787234042553187</v>
      </c>
      <c r="Q11" s="83" t="str">
        <f>IF(H11&gt;10000000000,"Large",IF(AND(H11&gt;=5000000000,H11&lt;=10000000000),"Medium",IF(H11&lt;5000000000,"Small","N/A")))</f>
        <v>Large</v>
      </c>
      <c r="R11" s="166">
        <f>N11/SUM($N$11:$N$41)</f>
        <v>2.5994020075090683E-2</v>
      </c>
    </row>
    <row r="12" spans="1:18" ht="14">
      <c r="B12" s="48" t="s">
        <v>177</v>
      </c>
      <c r="C12" s="77" t="s">
        <v>144</v>
      </c>
      <c r="D12" s="45" t="s">
        <v>12</v>
      </c>
      <c r="E12" s="78">
        <v>100</v>
      </c>
      <c r="F12" s="79">
        <v>40291</v>
      </c>
      <c r="G12" s="80">
        <v>105.48</v>
      </c>
      <c r="H12" s="173">
        <v>123606162095</v>
      </c>
      <c r="I12" s="38">
        <v>162.72</v>
      </c>
      <c r="J12" s="39">
        <v>164.4</v>
      </c>
      <c r="K12" s="39">
        <v>9.06</v>
      </c>
      <c r="L12" s="157">
        <f t="shared" ref="L12:L41" si="0">IF((E12*G12*0.01)&gt;28,28,(E12*G12*0.01))</f>
        <v>28</v>
      </c>
      <c r="M12" s="156">
        <f t="shared" ref="M12:M41" si="1">G12*E12+L12</f>
        <v>10576</v>
      </c>
      <c r="N12" s="156">
        <f t="shared" ref="N12:N41" si="2">I12*E12</f>
        <v>16272</v>
      </c>
      <c r="O12" s="172">
        <f t="shared" ref="O12:O41" si="3">(N12-M12)/M12</f>
        <v>0.53857791225416041</v>
      </c>
      <c r="P12" s="158">
        <f t="shared" ref="P12:P41" si="4">IF(K12&lt;=0,0,(I12/K12))</f>
        <v>17.960264900662249</v>
      </c>
      <c r="Q12" s="83" t="str">
        <f t="shared" ref="Q12:Q41" si="5">IF(H12&gt;10000000000,"Large",IF(AND(H12&gt;=5000000000,H12&lt;=10000000000),"Medium",IF(H12&lt;5000000000,"Small","N/A")))</f>
        <v>Large</v>
      </c>
      <c r="R12" s="166">
        <f t="shared" ref="R12:R41" si="6">N12/SUM($N$11:$N$41)</f>
        <v>9.6174328026802092E-2</v>
      </c>
    </row>
    <row r="13" spans="1:18" ht="14">
      <c r="B13" s="48" t="s">
        <v>250</v>
      </c>
      <c r="C13" s="77" t="s">
        <v>66</v>
      </c>
      <c r="D13" s="77" t="s">
        <v>6</v>
      </c>
      <c r="E13" s="78">
        <v>100</v>
      </c>
      <c r="F13" s="79">
        <v>40291</v>
      </c>
      <c r="G13" s="80">
        <v>67.88</v>
      </c>
      <c r="H13" s="173">
        <v>15857072051</v>
      </c>
      <c r="I13" s="174">
        <v>99.59</v>
      </c>
      <c r="J13" s="173">
        <v>98.04</v>
      </c>
      <c r="K13" s="39">
        <v>5.59</v>
      </c>
      <c r="L13" s="157">
        <f t="shared" si="0"/>
        <v>28</v>
      </c>
      <c r="M13" s="156">
        <f t="shared" si="1"/>
        <v>6816</v>
      </c>
      <c r="N13" s="156">
        <f t="shared" si="2"/>
        <v>9959</v>
      </c>
      <c r="O13" s="172">
        <f t="shared" si="3"/>
        <v>0.46112089201877932</v>
      </c>
      <c r="P13" s="158">
        <f t="shared" si="4"/>
        <v>17.815742397137747</v>
      </c>
      <c r="Q13" s="83" t="str">
        <f t="shared" si="5"/>
        <v>Large</v>
      </c>
      <c r="R13" s="166">
        <f t="shared" si="6"/>
        <v>5.8861856736659411E-2</v>
      </c>
    </row>
    <row r="14" spans="1:18" ht="14">
      <c r="B14" s="48" t="s">
        <v>251</v>
      </c>
      <c r="C14" s="77" t="s">
        <v>145</v>
      </c>
      <c r="D14" s="77" t="s">
        <v>7</v>
      </c>
      <c r="E14" s="78">
        <v>100</v>
      </c>
      <c r="F14" s="79">
        <v>40291</v>
      </c>
      <c r="G14" s="80">
        <v>34.46</v>
      </c>
      <c r="H14" s="173">
        <v>17434838571</v>
      </c>
      <c r="I14" s="174">
        <v>57.5</v>
      </c>
      <c r="J14" s="173">
        <v>57.28</v>
      </c>
      <c r="K14" s="39">
        <v>1.61</v>
      </c>
      <c r="L14" s="157">
        <f t="shared" si="0"/>
        <v>28</v>
      </c>
      <c r="M14" s="156">
        <f t="shared" si="1"/>
        <v>3474</v>
      </c>
      <c r="N14" s="156">
        <f t="shared" si="2"/>
        <v>5750</v>
      </c>
      <c r="O14" s="172">
        <f t="shared" si="3"/>
        <v>0.65515256188831317</v>
      </c>
      <c r="P14" s="158">
        <f t="shared" si="4"/>
        <v>35.714285714285715</v>
      </c>
      <c r="Q14" s="83" t="str">
        <f t="shared" si="5"/>
        <v>Large</v>
      </c>
      <c r="R14" s="166">
        <f t="shared" si="6"/>
        <v>3.3984905737101279E-2</v>
      </c>
    </row>
    <row r="15" spans="1:18" ht="14">
      <c r="B15" s="48" t="s">
        <v>44</v>
      </c>
      <c r="C15" s="77" t="s">
        <v>80</v>
      </c>
      <c r="D15" s="77" t="s">
        <v>7</v>
      </c>
      <c r="E15" s="78">
        <v>200</v>
      </c>
      <c r="F15" s="79">
        <v>40291</v>
      </c>
      <c r="G15" s="80">
        <v>23.15</v>
      </c>
      <c r="H15" s="173">
        <v>17224304201</v>
      </c>
      <c r="I15" s="174">
        <v>40.72</v>
      </c>
      <c r="J15" s="173">
        <v>40.479999999999997</v>
      </c>
      <c r="K15" s="39">
        <v>1.38</v>
      </c>
      <c r="L15" s="157">
        <f t="shared" si="0"/>
        <v>28</v>
      </c>
      <c r="M15" s="156">
        <f t="shared" si="1"/>
        <v>4658</v>
      </c>
      <c r="N15" s="156">
        <f t="shared" si="2"/>
        <v>8144</v>
      </c>
      <c r="O15" s="172">
        <f t="shared" si="3"/>
        <v>0.74838986689566334</v>
      </c>
      <c r="P15" s="158">
        <f t="shared" si="4"/>
        <v>29.507246376811597</v>
      </c>
      <c r="Q15" s="83" t="str">
        <f t="shared" si="5"/>
        <v>Large</v>
      </c>
      <c r="R15" s="166">
        <f t="shared" si="6"/>
        <v>4.8134447360513533E-2</v>
      </c>
    </row>
    <row r="16" spans="1:18" ht="14">
      <c r="B16" s="48" t="s">
        <v>252</v>
      </c>
      <c r="C16" s="77" t="s">
        <v>69</v>
      </c>
      <c r="D16" s="77" t="s">
        <v>8</v>
      </c>
      <c r="E16" s="78">
        <v>100</v>
      </c>
      <c r="F16" s="79">
        <v>40291</v>
      </c>
      <c r="G16" s="80">
        <v>69.41</v>
      </c>
      <c r="H16" s="173">
        <v>20590550000</v>
      </c>
      <c r="I16" s="174">
        <v>39.700000000000003</v>
      </c>
      <c r="J16" s="173">
        <v>39.25</v>
      </c>
      <c r="K16" s="39">
        <v>-6.52</v>
      </c>
      <c r="L16" s="157">
        <f t="shared" si="0"/>
        <v>28</v>
      </c>
      <c r="M16" s="156">
        <f t="shared" si="1"/>
        <v>6969</v>
      </c>
      <c r="N16" s="156">
        <f t="shared" si="2"/>
        <v>3970.0000000000005</v>
      </c>
      <c r="O16" s="172">
        <f t="shared" si="3"/>
        <v>-0.43033433778160418</v>
      </c>
      <c r="P16" s="158">
        <f t="shared" si="4"/>
        <v>0</v>
      </c>
      <c r="Q16" s="83" t="str">
        <f t="shared" si="5"/>
        <v>Large</v>
      </c>
      <c r="R16" s="166">
        <f t="shared" si="6"/>
        <v>2.3464361004572536E-2</v>
      </c>
    </row>
    <row r="17" spans="2:18" ht="14">
      <c r="B17" s="48" t="s">
        <v>176</v>
      </c>
      <c r="C17" s="77" t="s">
        <v>70</v>
      </c>
      <c r="D17" s="77" t="s">
        <v>7</v>
      </c>
      <c r="E17" s="78">
        <v>100</v>
      </c>
      <c r="F17" s="79">
        <v>40291</v>
      </c>
      <c r="G17" s="80">
        <v>70.63</v>
      </c>
      <c r="H17" s="173">
        <v>33323671651</v>
      </c>
      <c r="I17" s="174">
        <v>57.88</v>
      </c>
      <c r="J17" s="173">
        <v>57.84</v>
      </c>
      <c r="K17" s="39">
        <v>2.7</v>
      </c>
      <c r="L17" s="157">
        <f t="shared" si="0"/>
        <v>28</v>
      </c>
      <c r="M17" s="156">
        <f t="shared" si="1"/>
        <v>7091</v>
      </c>
      <c r="N17" s="156">
        <f t="shared" si="2"/>
        <v>5788</v>
      </c>
      <c r="O17" s="172">
        <f t="shared" si="3"/>
        <v>-0.18375405443519954</v>
      </c>
      <c r="P17" s="158">
        <f t="shared" si="4"/>
        <v>21.437037037037037</v>
      </c>
      <c r="Q17" s="83" t="str">
        <f t="shared" si="5"/>
        <v>Large</v>
      </c>
      <c r="R17" s="166">
        <f t="shared" si="6"/>
        <v>3.4209501635885597E-2</v>
      </c>
    </row>
    <row r="18" spans="2:18" ht="14">
      <c r="B18" s="48" t="s">
        <v>173</v>
      </c>
      <c r="C18" s="77" t="s">
        <v>175</v>
      </c>
      <c r="D18" s="77" t="s">
        <v>12</v>
      </c>
      <c r="E18" s="78">
        <v>150</v>
      </c>
      <c r="F18" s="79">
        <v>40291</v>
      </c>
      <c r="G18" s="80">
        <v>20.14</v>
      </c>
      <c r="H18" s="173">
        <v>109621013986</v>
      </c>
      <c r="I18" s="174">
        <v>40.71</v>
      </c>
      <c r="J18" s="173">
        <v>40.840000000000003</v>
      </c>
      <c r="K18" s="39">
        <v>0.37</v>
      </c>
      <c r="L18" s="157">
        <f t="shared" si="0"/>
        <v>28</v>
      </c>
      <c r="M18" s="156">
        <f t="shared" si="1"/>
        <v>3049</v>
      </c>
      <c r="N18" s="156">
        <f t="shared" si="2"/>
        <v>6106.5</v>
      </c>
      <c r="O18" s="172">
        <f t="shared" si="3"/>
        <v>1.002787799278452</v>
      </c>
      <c r="P18" s="158">
        <f t="shared" si="4"/>
        <v>110.02702702702703</v>
      </c>
      <c r="Q18" s="83" t="str">
        <f t="shared" si="5"/>
        <v>Large</v>
      </c>
      <c r="R18" s="166">
        <f t="shared" si="6"/>
        <v>3.6091969892801556E-2</v>
      </c>
    </row>
    <row r="19" spans="2:18" ht="14">
      <c r="B19" s="229" t="s">
        <v>253</v>
      </c>
      <c r="C19" s="44" t="s">
        <v>146</v>
      </c>
      <c r="D19" s="77" t="s">
        <v>9</v>
      </c>
      <c r="E19" s="78">
        <v>30</v>
      </c>
      <c r="F19" s="79">
        <v>40291</v>
      </c>
      <c r="G19" s="80">
        <v>40.53</v>
      </c>
      <c r="H19" s="173">
        <v>11939394310</v>
      </c>
      <c r="I19" s="174">
        <v>96.01</v>
      </c>
      <c r="J19" s="173">
        <v>95.51</v>
      </c>
      <c r="K19" s="39">
        <v>4.34</v>
      </c>
      <c r="L19" s="157">
        <f t="shared" si="0"/>
        <v>12.159000000000001</v>
      </c>
      <c r="M19" s="156">
        <f t="shared" si="1"/>
        <v>1228.0590000000002</v>
      </c>
      <c r="N19" s="156">
        <f t="shared" si="2"/>
        <v>2880.3</v>
      </c>
      <c r="O19" s="172">
        <f t="shared" si="3"/>
        <v>1.3454084860743658</v>
      </c>
      <c r="P19" s="158">
        <f t="shared" si="4"/>
        <v>22.122119815668206</v>
      </c>
      <c r="Q19" s="83" t="str">
        <f t="shared" si="5"/>
        <v>Large</v>
      </c>
      <c r="R19" s="166">
        <f t="shared" si="6"/>
        <v>1.7023778086012666E-2</v>
      </c>
    </row>
    <row r="20" spans="2:18" ht="14">
      <c r="B20" s="48" t="s">
        <v>52</v>
      </c>
      <c r="C20" s="77" t="s">
        <v>147</v>
      </c>
      <c r="D20" s="45" t="s">
        <v>10</v>
      </c>
      <c r="E20" s="23">
        <v>100</v>
      </c>
      <c r="F20" s="46">
        <v>40291</v>
      </c>
      <c r="G20" s="47">
        <v>18.53</v>
      </c>
      <c r="H20" s="173">
        <v>31076572682</v>
      </c>
      <c r="I20" s="174">
        <v>18.52</v>
      </c>
      <c r="J20" s="173">
        <v>18.38</v>
      </c>
      <c r="K20" s="39">
        <v>1.46</v>
      </c>
      <c r="L20" s="157">
        <f t="shared" si="0"/>
        <v>18.53</v>
      </c>
      <c r="M20" s="156">
        <f t="shared" si="1"/>
        <v>1871.53</v>
      </c>
      <c r="N20" s="156">
        <f t="shared" si="2"/>
        <v>1852</v>
      </c>
      <c r="O20" s="172">
        <f t="shared" si="3"/>
        <v>-1.0435312284601355E-2</v>
      </c>
      <c r="P20" s="158">
        <f t="shared" si="4"/>
        <v>12.684931506849315</v>
      </c>
      <c r="Q20" s="83" t="str">
        <f t="shared" si="5"/>
        <v>Large</v>
      </c>
      <c r="R20" s="166">
        <f t="shared" si="6"/>
        <v>1.0946094856541142E-2</v>
      </c>
    </row>
    <row r="21" spans="2:18" ht="14">
      <c r="B21" s="48" t="s">
        <v>254</v>
      </c>
      <c r="C21" s="77" t="s">
        <v>148</v>
      </c>
      <c r="D21" s="77" t="s">
        <v>7</v>
      </c>
      <c r="E21" s="78">
        <v>100</v>
      </c>
      <c r="F21" s="79">
        <v>40291</v>
      </c>
      <c r="G21" s="80">
        <v>48.72</v>
      </c>
      <c r="H21" s="173">
        <v>23104464730</v>
      </c>
      <c r="I21" s="174">
        <v>108.8</v>
      </c>
      <c r="J21" s="173">
        <v>108.63</v>
      </c>
      <c r="K21" s="39">
        <v>3.34</v>
      </c>
      <c r="L21" s="157">
        <f t="shared" si="0"/>
        <v>28</v>
      </c>
      <c r="M21" s="156">
        <f t="shared" si="1"/>
        <v>4900</v>
      </c>
      <c r="N21" s="156">
        <f t="shared" si="2"/>
        <v>10880</v>
      </c>
      <c r="O21" s="172">
        <f t="shared" si="3"/>
        <v>1.2204081632653061</v>
      </c>
      <c r="P21" s="158">
        <f t="shared" si="4"/>
        <v>32.574850299401199</v>
      </c>
      <c r="Q21" s="83" t="str">
        <f t="shared" si="5"/>
        <v>Large</v>
      </c>
      <c r="R21" s="166">
        <f t="shared" si="6"/>
        <v>6.4305352072984684E-2</v>
      </c>
    </row>
    <row r="22" spans="2:18" ht="42">
      <c r="B22" s="48" t="s">
        <v>234</v>
      </c>
      <c r="C22" s="77" t="s">
        <v>71</v>
      </c>
      <c r="D22" s="77" t="s">
        <v>10</v>
      </c>
      <c r="E22" s="78">
        <v>50</v>
      </c>
      <c r="F22" s="79">
        <v>40291</v>
      </c>
      <c r="G22" s="80">
        <v>126.99</v>
      </c>
      <c r="H22" s="173">
        <v>152508037371</v>
      </c>
      <c r="I22" s="174">
        <v>162.30000000000001</v>
      </c>
      <c r="J22" s="173">
        <v>161.69</v>
      </c>
      <c r="K22" s="39">
        <v>12.38</v>
      </c>
      <c r="L22" s="157">
        <f t="shared" si="0"/>
        <v>28</v>
      </c>
      <c r="M22" s="156">
        <f t="shared" si="1"/>
        <v>6377.5</v>
      </c>
      <c r="N22" s="156">
        <f>I22*E22</f>
        <v>8115.0000000000009</v>
      </c>
      <c r="O22" s="172">
        <f t="shared" si="3"/>
        <v>0.27244217953743644</v>
      </c>
      <c r="P22" s="158">
        <f t="shared" si="4"/>
        <v>13.109854604200324</v>
      </c>
      <c r="Q22" s="83" t="str">
        <f t="shared" si="5"/>
        <v>Large</v>
      </c>
      <c r="R22" s="166">
        <f t="shared" si="6"/>
        <v>4.7963045227230765E-2</v>
      </c>
    </row>
    <row r="23" spans="2:18" ht="14">
      <c r="B23" s="48" t="s">
        <v>255</v>
      </c>
      <c r="C23" s="77" t="s">
        <v>149</v>
      </c>
      <c r="D23" s="77" t="s">
        <v>11</v>
      </c>
      <c r="E23" s="78">
        <v>100</v>
      </c>
      <c r="F23" s="79">
        <v>40291</v>
      </c>
      <c r="G23" s="80">
        <v>56.48</v>
      </c>
      <c r="H23" s="173">
        <v>3457914174</v>
      </c>
      <c r="I23" s="174">
        <v>39.96</v>
      </c>
      <c r="J23" s="173">
        <v>39</v>
      </c>
      <c r="K23" s="39">
        <v>2.0699999999999998</v>
      </c>
      <c r="L23" s="157">
        <f t="shared" si="0"/>
        <v>28</v>
      </c>
      <c r="M23" s="156">
        <f t="shared" si="1"/>
        <v>5676</v>
      </c>
      <c r="N23" s="156">
        <f t="shared" si="2"/>
        <v>3996</v>
      </c>
      <c r="O23" s="172">
        <f t="shared" si="3"/>
        <v>-0.29598308668076112</v>
      </c>
      <c r="P23" s="158">
        <f t="shared" si="4"/>
        <v>19.304347826086957</v>
      </c>
      <c r="Q23" s="83" t="str">
        <f t="shared" si="5"/>
        <v>Small</v>
      </c>
      <c r="R23" s="166">
        <f t="shared" si="6"/>
        <v>2.3618031882688122E-2</v>
      </c>
    </row>
    <row r="24" spans="2:18" ht="14">
      <c r="B24" s="48" t="s">
        <v>256</v>
      </c>
      <c r="C24" s="77" t="s">
        <v>72</v>
      </c>
      <c r="D24" s="77" t="s">
        <v>11</v>
      </c>
      <c r="E24" s="78">
        <v>100</v>
      </c>
      <c r="F24" s="79">
        <v>40291</v>
      </c>
      <c r="G24" s="80">
        <v>34.229999999999997</v>
      </c>
      <c r="H24" s="173">
        <v>38749953547</v>
      </c>
      <c r="I24" s="174">
        <v>41.73</v>
      </c>
      <c r="J24" s="173">
        <v>41.28</v>
      </c>
      <c r="K24" s="39">
        <v>-1.64</v>
      </c>
      <c r="L24" s="157">
        <f t="shared" si="0"/>
        <v>28</v>
      </c>
      <c r="M24" s="156">
        <f t="shared" si="1"/>
        <v>3450.9999999999995</v>
      </c>
      <c r="N24" s="156">
        <f t="shared" si="2"/>
        <v>4173</v>
      </c>
      <c r="O24" s="172">
        <f t="shared" si="3"/>
        <v>0.20921472037090713</v>
      </c>
      <c r="P24" s="158">
        <f t="shared" si="4"/>
        <v>0</v>
      </c>
      <c r="Q24" s="83" t="str">
        <f t="shared" si="5"/>
        <v>Large</v>
      </c>
      <c r="R24" s="166">
        <f t="shared" si="6"/>
        <v>2.4664175937551935E-2</v>
      </c>
    </row>
    <row r="25" spans="2:18" ht="14">
      <c r="B25" s="48" t="s">
        <v>257</v>
      </c>
      <c r="C25" s="77" t="s">
        <v>73</v>
      </c>
      <c r="D25" s="77" t="s">
        <v>12</v>
      </c>
      <c r="E25" s="78">
        <v>88</v>
      </c>
      <c r="F25" s="79">
        <v>40291</v>
      </c>
      <c r="G25" s="80">
        <v>65.040000000000006</v>
      </c>
      <c r="H25" s="173">
        <v>329020961069</v>
      </c>
      <c r="I25" s="174">
        <v>121.87</v>
      </c>
      <c r="J25" s="173">
        <v>121.37</v>
      </c>
      <c r="K25" s="39">
        <v>5.93</v>
      </c>
      <c r="L25" s="157">
        <f t="shared" si="0"/>
        <v>28</v>
      </c>
      <c r="M25" s="156">
        <f t="shared" si="1"/>
        <v>5751.52</v>
      </c>
      <c r="N25" s="156">
        <f t="shared" si="2"/>
        <v>10724.560000000001</v>
      </c>
      <c r="O25" s="172">
        <f t="shared" si="3"/>
        <v>0.86464795393217797</v>
      </c>
      <c r="P25" s="158">
        <f t="shared" si="4"/>
        <v>20.551433389544691</v>
      </c>
      <c r="Q25" s="83" t="str">
        <f t="shared" si="5"/>
        <v>Large</v>
      </c>
      <c r="R25" s="166">
        <f t="shared" si="6"/>
        <v>6.3386636638589025E-2</v>
      </c>
    </row>
    <row r="26" spans="2:18" ht="14">
      <c r="B26" s="48" t="s">
        <v>258</v>
      </c>
      <c r="C26" s="77" t="s">
        <v>150</v>
      </c>
      <c r="D26" s="77" t="s">
        <v>13</v>
      </c>
      <c r="E26" s="78">
        <v>200</v>
      </c>
      <c r="F26" s="79">
        <v>40291</v>
      </c>
      <c r="G26" s="80">
        <v>49.48</v>
      </c>
      <c r="H26" s="173">
        <v>6752919598</v>
      </c>
      <c r="I26" s="174">
        <v>40.76</v>
      </c>
      <c r="J26" s="173">
        <v>39.18</v>
      </c>
      <c r="K26" s="39">
        <v>3.11</v>
      </c>
      <c r="L26" s="157">
        <f t="shared" si="0"/>
        <v>28</v>
      </c>
      <c r="M26" s="156">
        <f t="shared" si="1"/>
        <v>9924</v>
      </c>
      <c r="N26" s="156">
        <f t="shared" si="2"/>
        <v>8152</v>
      </c>
      <c r="O26" s="172">
        <f t="shared" si="3"/>
        <v>-0.17855703345425231</v>
      </c>
      <c r="P26" s="158">
        <f t="shared" si="4"/>
        <v>13.106109324758842</v>
      </c>
      <c r="Q26" s="83" t="str">
        <f t="shared" si="5"/>
        <v>Medium</v>
      </c>
      <c r="R26" s="166">
        <f t="shared" si="6"/>
        <v>4.8181730707626019E-2</v>
      </c>
    </row>
    <row r="27" spans="2:18" ht="14">
      <c r="B27" s="48" t="s">
        <v>122</v>
      </c>
      <c r="C27" s="77" t="s">
        <v>151</v>
      </c>
      <c r="D27" s="77" t="s">
        <v>12</v>
      </c>
      <c r="E27" s="78">
        <v>50</v>
      </c>
      <c r="F27" s="79">
        <v>40291</v>
      </c>
      <c r="G27" s="80">
        <v>35.46</v>
      </c>
      <c r="H27" s="173">
        <v>89250333937</v>
      </c>
      <c r="I27" s="174">
        <v>81.94</v>
      </c>
      <c r="J27" s="173">
        <v>80.89</v>
      </c>
      <c r="K27" s="39">
        <v>2.58</v>
      </c>
      <c r="L27" s="157">
        <f t="shared" si="0"/>
        <v>17.73</v>
      </c>
      <c r="M27" s="156">
        <f t="shared" si="1"/>
        <v>1790.73</v>
      </c>
      <c r="N27" s="156">
        <f t="shared" si="2"/>
        <v>4097</v>
      </c>
      <c r="O27" s="172">
        <f t="shared" si="3"/>
        <v>1.2878937639956889</v>
      </c>
      <c r="P27" s="158">
        <f t="shared" si="4"/>
        <v>31.759689922480618</v>
      </c>
      <c r="Q27" s="83" t="str">
        <f t="shared" si="5"/>
        <v>Large</v>
      </c>
      <c r="R27" s="166">
        <f t="shared" si="6"/>
        <v>2.4214984139983294E-2</v>
      </c>
    </row>
    <row r="28" spans="2:18" ht="14">
      <c r="B28" s="48" t="s">
        <v>165</v>
      </c>
      <c r="C28" s="77" t="s">
        <v>152</v>
      </c>
      <c r="D28" s="77" t="s">
        <v>13</v>
      </c>
      <c r="E28" s="78">
        <v>150</v>
      </c>
      <c r="F28" s="79">
        <v>40291</v>
      </c>
      <c r="G28" s="80">
        <v>29.48</v>
      </c>
      <c r="H28" s="173">
        <v>8877882353</v>
      </c>
      <c r="I28" s="174">
        <v>30.01</v>
      </c>
      <c r="J28" s="173">
        <v>29.09</v>
      </c>
      <c r="K28" s="39">
        <v>1.99</v>
      </c>
      <c r="L28" s="157">
        <f t="shared" si="0"/>
        <v>28</v>
      </c>
      <c r="M28" s="156">
        <f t="shared" si="1"/>
        <v>4450</v>
      </c>
      <c r="N28" s="156">
        <f t="shared" si="2"/>
        <v>4501.5</v>
      </c>
      <c r="O28" s="172">
        <f t="shared" si="3"/>
        <v>1.1573033707865169E-2</v>
      </c>
      <c r="P28" s="158">
        <f t="shared" si="4"/>
        <v>15.080402010050252</v>
      </c>
      <c r="Q28" s="83" t="str">
        <f t="shared" si="5"/>
        <v>Medium</v>
      </c>
      <c r="R28" s="166">
        <f t="shared" si="6"/>
        <v>2.6605748378358506E-2</v>
      </c>
    </row>
    <row r="29" spans="2:18" ht="14">
      <c r="B29" s="48" t="s">
        <v>259</v>
      </c>
      <c r="C29" s="77" t="s">
        <v>153</v>
      </c>
      <c r="D29" s="77" t="s">
        <v>9</v>
      </c>
      <c r="E29" s="78">
        <v>50</v>
      </c>
      <c r="F29" s="79">
        <v>40291</v>
      </c>
      <c r="G29" s="80">
        <v>23.54</v>
      </c>
      <c r="H29" s="173">
        <v>8600521944</v>
      </c>
      <c r="I29" s="174">
        <v>25.21</v>
      </c>
      <c r="J29" s="173">
        <v>25.11</v>
      </c>
      <c r="K29" s="39">
        <v>0.92</v>
      </c>
      <c r="L29" s="157">
        <f t="shared" si="0"/>
        <v>11.77</v>
      </c>
      <c r="M29" s="156">
        <f t="shared" si="1"/>
        <v>1188.77</v>
      </c>
      <c r="N29" s="156">
        <f t="shared" si="2"/>
        <v>1260.5</v>
      </c>
      <c r="O29" s="172">
        <f t="shared" si="3"/>
        <v>6.0339678827695871E-2</v>
      </c>
      <c r="P29" s="158">
        <f t="shared" si="4"/>
        <v>27.402173913043477</v>
      </c>
      <c r="Q29" s="83" t="str">
        <f t="shared" si="5"/>
        <v>Medium</v>
      </c>
      <c r="R29" s="166">
        <f t="shared" si="6"/>
        <v>7.4500823794115059E-3</v>
      </c>
    </row>
    <row r="30" spans="2:18" ht="14">
      <c r="B30" s="48" t="s">
        <v>260</v>
      </c>
      <c r="C30" s="77" t="s">
        <v>74</v>
      </c>
      <c r="D30" s="77" t="s">
        <v>14</v>
      </c>
      <c r="E30" s="78">
        <v>240</v>
      </c>
      <c r="F30" s="79">
        <v>40291</v>
      </c>
      <c r="G30" s="80">
        <v>10.48</v>
      </c>
      <c r="H30" s="173">
        <v>1172951869</v>
      </c>
      <c r="I30" s="174">
        <v>8.7200000000000006</v>
      </c>
      <c r="J30" s="173">
        <v>8.6999999999999993</v>
      </c>
      <c r="K30" s="39">
        <v>-2.54</v>
      </c>
      <c r="L30" s="157">
        <f t="shared" si="0"/>
        <v>25.152000000000005</v>
      </c>
      <c r="M30" s="156">
        <f t="shared" si="1"/>
        <v>2540.3520000000003</v>
      </c>
      <c r="N30" s="156">
        <f t="shared" si="2"/>
        <v>2092.8000000000002</v>
      </c>
      <c r="O30" s="172">
        <f t="shared" si="3"/>
        <v>-0.17617715970070291</v>
      </c>
      <c r="P30" s="158">
        <f t="shared" si="4"/>
        <v>0</v>
      </c>
      <c r="Q30" s="83" t="str">
        <f t="shared" si="5"/>
        <v>Small</v>
      </c>
      <c r="R30" s="166">
        <f t="shared" si="6"/>
        <v>1.2369323604627055E-2</v>
      </c>
    </row>
    <row r="31" spans="2:18" ht="28">
      <c r="B31" s="48" t="s">
        <v>261</v>
      </c>
      <c r="C31" s="77" t="s">
        <v>75</v>
      </c>
      <c r="D31" s="77" t="s">
        <v>14</v>
      </c>
      <c r="E31" s="78">
        <v>250</v>
      </c>
      <c r="F31" s="79">
        <v>40291</v>
      </c>
      <c r="G31" s="80">
        <v>19.21</v>
      </c>
      <c r="H31" s="173">
        <v>34041939137</v>
      </c>
      <c r="I31" s="174">
        <v>17.25</v>
      </c>
      <c r="J31" s="173">
        <v>16.96</v>
      </c>
      <c r="K31" s="39">
        <v>1.41</v>
      </c>
      <c r="L31" s="157">
        <f t="shared" si="0"/>
        <v>28</v>
      </c>
      <c r="M31" s="156">
        <f t="shared" si="1"/>
        <v>4830.5</v>
      </c>
      <c r="N31" s="156">
        <f t="shared" si="2"/>
        <v>4312.5</v>
      </c>
      <c r="O31" s="172">
        <f t="shared" si="3"/>
        <v>-0.10723527585136114</v>
      </c>
      <c r="P31" s="158">
        <f t="shared" si="4"/>
        <v>12.23404255319149</v>
      </c>
      <c r="Q31" s="83" t="str">
        <f t="shared" si="5"/>
        <v>Large</v>
      </c>
      <c r="R31" s="166">
        <f t="shared" si="6"/>
        <v>2.5488679302825959E-2</v>
      </c>
    </row>
    <row r="32" spans="2:18" ht="14">
      <c r="B32" s="48" t="s">
        <v>262</v>
      </c>
      <c r="C32" s="77" t="s">
        <v>154</v>
      </c>
      <c r="D32" s="77" t="s">
        <v>10</v>
      </c>
      <c r="E32" s="78">
        <v>150</v>
      </c>
      <c r="F32" s="79">
        <v>40291</v>
      </c>
      <c r="G32" s="80">
        <v>30.96</v>
      </c>
      <c r="H32" s="173">
        <v>502598539492</v>
      </c>
      <c r="I32" s="174">
        <v>65.5</v>
      </c>
      <c r="J32" s="173">
        <v>65.040000000000006</v>
      </c>
      <c r="K32" s="39">
        <v>2.13</v>
      </c>
      <c r="L32" s="157">
        <f t="shared" si="0"/>
        <v>28</v>
      </c>
      <c r="M32" s="156">
        <f t="shared" si="1"/>
        <v>4672</v>
      </c>
      <c r="N32" s="156">
        <f t="shared" si="2"/>
        <v>9825</v>
      </c>
      <c r="O32" s="172">
        <f t="shared" si="3"/>
        <v>1.1029537671232876</v>
      </c>
      <c r="P32" s="158">
        <f t="shared" si="4"/>
        <v>30.751173708920188</v>
      </c>
      <c r="Q32" s="83" t="str">
        <f t="shared" si="5"/>
        <v>Large</v>
      </c>
      <c r="R32" s="166">
        <f t="shared" si="6"/>
        <v>5.8069860672525231E-2</v>
      </c>
    </row>
    <row r="33" spans="2:18" ht="28">
      <c r="B33" s="77" t="s">
        <v>263</v>
      </c>
      <c r="C33" s="77" t="s">
        <v>76</v>
      </c>
      <c r="D33" s="77" t="s">
        <v>8</v>
      </c>
      <c r="E33" s="78">
        <v>50</v>
      </c>
      <c r="F33" s="79">
        <v>40291</v>
      </c>
      <c r="G33" s="80">
        <v>22.61</v>
      </c>
      <c r="H33" s="173">
        <v>3412743063</v>
      </c>
      <c r="I33" s="174">
        <v>11.77</v>
      </c>
      <c r="J33" s="173">
        <v>11.96</v>
      </c>
      <c r="K33" s="39">
        <v>-3.64</v>
      </c>
      <c r="L33" s="157">
        <f t="shared" si="0"/>
        <v>11.305</v>
      </c>
      <c r="M33" s="156">
        <f t="shared" si="1"/>
        <v>1141.8050000000001</v>
      </c>
      <c r="N33" s="156">
        <f t="shared" si="2"/>
        <v>588.5</v>
      </c>
      <c r="O33" s="172">
        <f t="shared" si="3"/>
        <v>-0.48458799882641962</v>
      </c>
      <c r="P33" s="158">
        <f t="shared" si="4"/>
        <v>0</v>
      </c>
      <c r="Q33" s="83" t="str">
        <f t="shared" si="5"/>
        <v>Small</v>
      </c>
      <c r="R33" s="166">
        <f t="shared" si="6"/>
        <v>3.4782812219624525E-3</v>
      </c>
    </row>
    <row r="34" spans="2:18" ht="14">
      <c r="B34" s="77" t="s">
        <v>264</v>
      </c>
      <c r="C34" s="77" t="s">
        <v>77</v>
      </c>
      <c r="D34" s="77" t="s">
        <v>10</v>
      </c>
      <c r="E34" s="78">
        <v>200</v>
      </c>
      <c r="F34" s="79">
        <v>40291</v>
      </c>
      <c r="G34" s="80">
        <v>14.32</v>
      </c>
      <c r="H34" s="173">
        <v>4504830000</v>
      </c>
      <c r="I34" s="174">
        <v>35.89</v>
      </c>
      <c r="J34" s="173">
        <v>36.299999999999997</v>
      </c>
      <c r="K34" s="39">
        <v>1.49</v>
      </c>
      <c r="L34" s="157">
        <f t="shared" si="0"/>
        <v>28</v>
      </c>
      <c r="M34" s="156">
        <f t="shared" si="1"/>
        <v>2892</v>
      </c>
      <c r="N34" s="156">
        <f t="shared" si="2"/>
        <v>7178</v>
      </c>
      <c r="O34" s="172">
        <f t="shared" si="3"/>
        <v>1.4820193637621024</v>
      </c>
      <c r="P34" s="158">
        <f t="shared" si="4"/>
        <v>24.087248322147651</v>
      </c>
      <c r="Q34" s="83" t="str">
        <f t="shared" si="5"/>
        <v>Small</v>
      </c>
      <c r="R34" s="166">
        <f t="shared" si="6"/>
        <v>4.2424983196680519E-2</v>
      </c>
    </row>
    <row r="35" spans="2:18" ht="14">
      <c r="B35" s="77" t="s">
        <v>265</v>
      </c>
      <c r="C35" s="77" t="s">
        <v>155</v>
      </c>
      <c r="D35" s="77" t="s">
        <v>8</v>
      </c>
      <c r="E35" s="78">
        <v>100</v>
      </c>
      <c r="F35" s="79">
        <v>40291</v>
      </c>
      <c r="G35" s="80">
        <v>43.63</v>
      </c>
      <c r="H35" s="173">
        <v>1279686860</v>
      </c>
      <c r="I35" s="174">
        <v>5.31</v>
      </c>
      <c r="J35" s="173">
        <v>5.23</v>
      </c>
      <c r="K35" s="39">
        <v>-3.82</v>
      </c>
      <c r="L35" s="157">
        <f t="shared" si="0"/>
        <v>28</v>
      </c>
      <c r="M35" s="156">
        <f t="shared" si="1"/>
        <v>4391</v>
      </c>
      <c r="N35" s="156">
        <f t="shared" si="2"/>
        <v>531</v>
      </c>
      <c r="O35" s="172">
        <f t="shared" si="3"/>
        <v>-0.87907082669095882</v>
      </c>
      <c r="P35" s="158">
        <f t="shared" si="4"/>
        <v>0</v>
      </c>
      <c r="Q35" s="83" t="str">
        <f t="shared" si="5"/>
        <v>Small</v>
      </c>
      <c r="R35" s="166">
        <f t="shared" si="6"/>
        <v>3.1384321645914399E-3</v>
      </c>
    </row>
    <row r="36" spans="2:18" ht="14">
      <c r="B36" s="77" t="s">
        <v>266</v>
      </c>
      <c r="C36" s="77" t="s">
        <v>78</v>
      </c>
      <c r="D36" s="77" t="s">
        <v>14</v>
      </c>
      <c r="E36" s="78">
        <v>10</v>
      </c>
      <c r="F36" s="79">
        <v>40291</v>
      </c>
      <c r="G36" s="80">
        <v>20.86</v>
      </c>
      <c r="H36" s="173">
        <v>22579661595</v>
      </c>
      <c r="I36" s="174">
        <v>39.409999999999997</v>
      </c>
      <c r="J36" s="173">
        <v>38.869999999999997</v>
      </c>
      <c r="K36" s="39">
        <v>1.76</v>
      </c>
      <c r="L36" s="157">
        <f t="shared" si="0"/>
        <v>2.0859999999999999</v>
      </c>
      <c r="M36" s="156">
        <f t="shared" si="1"/>
        <v>210.68600000000001</v>
      </c>
      <c r="N36" s="156">
        <f t="shared" si="2"/>
        <v>394.09999999999997</v>
      </c>
      <c r="O36" s="172">
        <f t="shared" si="3"/>
        <v>0.87055618313509175</v>
      </c>
      <c r="P36" s="158">
        <f t="shared" si="4"/>
        <v>22.392045454545453</v>
      </c>
      <c r="Q36" s="83" t="str">
        <f t="shared" si="5"/>
        <v>Large</v>
      </c>
      <c r="R36" s="166">
        <f t="shared" si="6"/>
        <v>2.3292958871289761E-3</v>
      </c>
    </row>
    <row r="37" spans="2:18" ht="14">
      <c r="B37" s="77" t="s">
        <v>267</v>
      </c>
      <c r="C37" s="77" t="s">
        <v>156</v>
      </c>
      <c r="D37" s="77" t="s">
        <v>13</v>
      </c>
      <c r="E37" s="78">
        <v>150</v>
      </c>
      <c r="F37" s="79">
        <v>40291</v>
      </c>
      <c r="G37" s="80">
        <v>48.01</v>
      </c>
      <c r="H37" s="173">
        <v>49645861156</v>
      </c>
      <c r="I37" s="174">
        <v>78.17</v>
      </c>
      <c r="J37" s="173">
        <v>76.900000000000006</v>
      </c>
      <c r="K37" s="39">
        <v>3.46</v>
      </c>
      <c r="L37" s="157">
        <f t="shared" si="0"/>
        <v>28</v>
      </c>
      <c r="M37" s="156">
        <f t="shared" si="1"/>
        <v>7229.5</v>
      </c>
      <c r="N37" s="156">
        <f t="shared" si="2"/>
        <v>11725.5</v>
      </c>
      <c r="O37" s="172">
        <f t="shared" si="3"/>
        <v>0.62189639670793273</v>
      </c>
      <c r="P37" s="158">
        <f t="shared" si="4"/>
        <v>22.592485549132949</v>
      </c>
      <c r="Q37" s="83" t="str">
        <f t="shared" si="5"/>
        <v>Large</v>
      </c>
      <c r="R37" s="166">
        <f t="shared" si="6"/>
        <v>6.9302610820935834E-2</v>
      </c>
    </row>
    <row r="38" spans="2:18" ht="14">
      <c r="B38" s="77" t="s">
        <v>236</v>
      </c>
      <c r="C38" s="77" t="s">
        <v>157</v>
      </c>
      <c r="D38" s="77" t="s">
        <v>13</v>
      </c>
      <c r="E38" s="78">
        <v>100</v>
      </c>
      <c r="F38" s="79">
        <v>40291</v>
      </c>
      <c r="G38" s="80">
        <v>56.53</v>
      </c>
      <c r="H38" s="173">
        <v>224654982481</v>
      </c>
      <c r="I38" s="174">
        <v>74.8</v>
      </c>
      <c r="J38" s="173">
        <v>74.069999999999993</v>
      </c>
      <c r="K38" s="39">
        <v>4.38</v>
      </c>
      <c r="L38" s="157">
        <f t="shared" si="0"/>
        <v>28</v>
      </c>
      <c r="M38" s="156">
        <f t="shared" si="1"/>
        <v>5681</v>
      </c>
      <c r="N38" s="156">
        <f t="shared" si="2"/>
        <v>7480</v>
      </c>
      <c r="O38" s="172">
        <f t="shared" si="3"/>
        <v>0.31666960042246084</v>
      </c>
      <c r="P38" s="158">
        <f t="shared" si="4"/>
        <v>17.077625570776256</v>
      </c>
      <c r="Q38" s="83" t="str">
        <f t="shared" si="5"/>
        <v>Large</v>
      </c>
      <c r="R38" s="166">
        <f t="shared" si="6"/>
        <v>4.4209929550176968E-2</v>
      </c>
    </row>
    <row r="39" spans="2:18" ht="28">
      <c r="B39" s="77" t="s">
        <v>268</v>
      </c>
      <c r="C39" s="77" t="s">
        <v>79</v>
      </c>
      <c r="D39" s="77" t="s">
        <v>15</v>
      </c>
      <c r="E39" s="78">
        <v>50</v>
      </c>
      <c r="F39" s="79">
        <v>40291</v>
      </c>
      <c r="G39" s="80">
        <v>59.24</v>
      </c>
      <c r="H39" s="173">
        <v>4953343427</v>
      </c>
      <c r="I39" s="174">
        <v>30.51</v>
      </c>
      <c r="J39" s="173">
        <v>28.42</v>
      </c>
      <c r="K39" s="39">
        <v>-2.81</v>
      </c>
      <c r="L39" s="157">
        <f t="shared" si="0"/>
        <v>28</v>
      </c>
      <c r="M39" s="156">
        <f t="shared" si="1"/>
        <v>2990</v>
      </c>
      <c r="N39" s="156">
        <f t="shared" si="2"/>
        <v>1525.5</v>
      </c>
      <c r="O39" s="172">
        <f t="shared" si="3"/>
        <v>-0.4897993311036789</v>
      </c>
      <c r="P39" s="158">
        <f t="shared" si="4"/>
        <v>0</v>
      </c>
      <c r="Q39" s="83" t="str">
        <f t="shared" si="5"/>
        <v>Small</v>
      </c>
      <c r="R39" s="166">
        <f t="shared" si="6"/>
        <v>9.0163432525126961E-3</v>
      </c>
    </row>
    <row r="40" spans="2:18" ht="28">
      <c r="B40" s="77" t="s">
        <v>50</v>
      </c>
      <c r="C40" s="77" t="s">
        <v>158</v>
      </c>
      <c r="D40" s="77" t="s">
        <v>11</v>
      </c>
      <c r="E40" s="78">
        <v>50</v>
      </c>
      <c r="F40" s="79">
        <v>40291</v>
      </c>
      <c r="G40" s="80">
        <v>13.11</v>
      </c>
      <c r="H40" s="173">
        <v>50166800</v>
      </c>
      <c r="I40" s="174">
        <v>2.74</v>
      </c>
      <c r="J40" s="173">
        <v>2.76</v>
      </c>
      <c r="K40" s="39">
        <v>-89.3</v>
      </c>
      <c r="L40" s="157">
        <f t="shared" si="0"/>
        <v>6.5549999999999997</v>
      </c>
      <c r="M40" s="156">
        <f t="shared" si="1"/>
        <v>662.05499999999995</v>
      </c>
      <c r="N40" s="156">
        <f t="shared" si="2"/>
        <v>137</v>
      </c>
      <c r="O40" s="172">
        <f t="shared" si="3"/>
        <v>-0.7930685517064292</v>
      </c>
      <c r="P40" s="158">
        <f t="shared" si="4"/>
        <v>0</v>
      </c>
      <c r="Q40" s="83" t="str">
        <f t="shared" si="5"/>
        <v>Small</v>
      </c>
      <c r="R40" s="166">
        <f t="shared" si="6"/>
        <v>8.0972731930136963E-4</v>
      </c>
    </row>
    <row r="41" spans="2:18" ht="14">
      <c r="B41" s="77" t="s">
        <v>124</v>
      </c>
      <c r="C41" s="77" t="s">
        <v>125</v>
      </c>
      <c r="D41" s="77" t="s">
        <v>10</v>
      </c>
      <c r="E41" s="78">
        <v>50</v>
      </c>
      <c r="F41" s="79">
        <v>40291</v>
      </c>
      <c r="G41" s="80">
        <v>17.64</v>
      </c>
      <c r="H41" s="173">
        <v>44954899199</v>
      </c>
      <c r="I41" s="174">
        <v>47.67</v>
      </c>
      <c r="J41" s="173">
        <v>47</v>
      </c>
      <c r="K41" s="39">
        <v>-0.23</v>
      </c>
      <c r="L41" s="157">
        <f t="shared" si="0"/>
        <v>8.82</v>
      </c>
      <c r="M41" s="156">
        <f t="shared" si="1"/>
        <v>890.82</v>
      </c>
      <c r="N41" s="156">
        <f t="shared" si="2"/>
        <v>2383.5</v>
      </c>
      <c r="O41" s="172">
        <f t="shared" si="3"/>
        <v>1.6756247053276754</v>
      </c>
      <c r="P41" s="158">
        <f t="shared" si="4"/>
        <v>0</v>
      </c>
      <c r="Q41" s="83" t="str">
        <f t="shared" si="5"/>
        <v>Large</v>
      </c>
      <c r="R41" s="166">
        <f t="shared" si="6"/>
        <v>1.4087482230327112E-2</v>
      </c>
    </row>
    <row r="45" spans="2:18">
      <c r="B45" s="324" t="s">
        <v>423</v>
      </c>
      <c r="C45" s="324"/>
      <c r="D45" s="324"/>
    </row>
    <row r="46" spans="2:18">
      <c r="B46" s="324"/>
      <c r="C46" s="324"/>
      <c r="D46" s="324"/>
    </row>
  </sheetData>
  <mergeCells count="1">
    <mergeCell ref="B45:D46"/>
  </mergeCells>
  <pageMargins left="0.7" right="0.7" top="0.75" bottom="0.75" header="0.3" footer="0.3"/>
  <pageSetup orientation="portrait" horizontalDpi="0" verticalDpi="0"/>
  <headerFooter>
    <oddHeader>&amp;CStephanie Agbenorhevi</oddHead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4:R76"/>
  <sheetViews>
    <sheetView view="pageLayout" zoomScaleNormal="100" workbookViewId="0">
      <selection activeCell="G79" sqref="G79"/>
    </sheetView>
  </sheetViews>
  <sheetFormatPr baseColWidth="10" defaultColWidth="8.83203125" defaultRowHeight="13"/>
  <cols>
    <col min="1" max="1" width="22.6640625" bestFit="1" customWidth="1"/>
    <col min="2" max="2" width="17.5" customWidth="1"/>
    <col min="3" max="3" width="9.83203125" customWidth="1"/>
    <col min="4" max="4" width="17.6640625" bestFit="1" customWidth="1"/>
    <col min="5" max="5" width="12.6640625" customWidth="1"/>
    <col min="6" max="6" width="15" bestFit="1" customWidth="1"/>
    <col min="7" max="7" width="18" customWidth="1"/>
    <col min="8" max="8" width="9" bestFit="1" customWidth="1"/>
    <col min="9" max="9" width="14.6640625" bestFit="1" customWidth="1"/>
    <col min="10" max="10" width="16.6640625" customWidth="1"/>
    <col min="11" max="11" width="12.1640625" bestFit="1" customWidth="1"/>
    <col min="12" max="12" width="10.1640625" bestFit="1" customWidth="1"/>
    <col min="13" max="13" width="12.1640625" customWidth="1"/>
    <col min="14" max="15" width="9" bestFit="1" customWidth="1"/>
    <col min="16" max="16" width="19" customWidth="1"/>
    <col min="17" max="17" width="17.83203125" customWidth="1"/>
  </cols>
  <sheetData>
    <row r="14" spans="1:18" ht="20">
      <c r="A14" s="299" t="s">
        <v>203</v>
      </c>
      <c r="B14" s="300"/>
      <c r="C14" s="300"/>
      <c r="D14" s="300"/>
      <c r="E14" s="300"/>
      <c r="F14" s="300"/>
      <c r="L14" s="167"/>
    </row>
    <row r="16" spans="1:18">
      <c r="Q16" s="83" t="s">
        <v>22</v>
      </c>
      <c r="R16" s="23"/>
    </row>
    <row r="17" spans="1:18">
      <c r="Q17" s="23"/>
      <c r="R17" s="23"/>
    </row>
    <row r="18" spans="1:18">
      <c r="Q18" s="23"/>
      <c r="R18" s="23"/>
    </row>
    <row r="20" spans="1:18">
      <c r="A20" s="234" t="s">
        <v>0</v>
      </c>
      <c r="B20" s="234" t="s">
        <v>1</v>
      </c>
      <c r="C20" s="234" t="s">
        <v>2</v>
      </c>
      <c r="D20" s="234" t="s">
        <v>3</v>
      </c>
      <c r="E20" s="234" t="s">
        <v>4</v>
      </c>
      <c r="F20" s="234" t="s">
        <v>5</v>
      </c>
      <c r="G20" s="234" t="s">
        <v>16</v>
      </c>
      <c r="H20" s="234" t="s">
        <v>17</v>
      </c>
      <c r="I20" s="234" t="s">
        <v>18</v>
      </c>
      <c r="J20" s="234" t="s">
        <v>19</v>
      </c>
      <c r="K20" s="234" t="s">
        <v>20</v>
      </c>
      <c r="L20" s="234" t="s">
        <v>21</v>
      </c>
      <c r="M20" s="234" t="s">
        <v>23</v>
      </c>
      <c r="N20" s="234" t="s">
        <v>24</v>
      </c>
      <c r="O20" s="234" t="s">
        <v>25</v>
      </c>
      <c r="P20" s="234" t="s">
        <v>26</v>
      </c>
    </row>
    <row r="21" spans="1:18">
      <c r="A21" s="235"/>
      <c r="B21" s="235"/>
      <c r="C21" s="235"/>
      <c r="D21" s="235"/>
      <c r="E21" s="235"/>
      <c r="F21" s="235"/>
      <c r="G21" s="235"/>
      <c r="H21" s="235"/>
      <c r="I21" s="235"/>
      <c r="J21" s="235"/>
      <c r="K21" s="235"/>
      <c r="L21" s="235"/>
      <c r="M21" s="235"/>
      <c r="N21" s="235"/>
      <c r="O21" s="235"/>
      <c r="P21" s="234" t="s">
        <v>217</v>
      </c>
    </row>
    <row r="22" spans="1:18">
      <c r="A22" s="235"/>
      <c r="B22" s="235"/>
      <c r="C22" s="235"/>
      <c r="D22" s="235"/>
      <c r="E22" s="235"/>
      <c r="F22" s="235"/>
      <c r="G22" s="235"/>
      <c r="H22" s="235"/>
      <c r="I22" s="235"/>
      <c r="J22" s="234"/>
      <c r="K22" s="235"/>
      <c r="L22" s="235"/>
      <c r="M22" s="235"/>
      <c r="N22" s="235"/>
      <c r="O22" s="235"/>
      <c r="P22" s="235"/>
      <c r="Q22" s="155" t="b">
        <f>Portfolio!K11&gt;AVERAGE(Portfolio!K11:K41)</f>
        <v>1</v>
      </c>
    </row>
    <row r="23" spans="1:18">
      <c r="A23" s="235"/>
      <c r="B23" s="235"/>
      <c r="C23" s="235"/>
      <c r="D23" s="235"/>
      <c r="E23" s="235"/>
      <c r="F23" s="235"/>
      <c r="G23" s="235"/>
      <c r="H23" s="235"/>
      <c r="I23" s="235"/>
      <c r="J23" s="235"/>
      <c r="K23" s="235"/>
      <c r="L23" s="235"/>
      <c r="M23" s="235"/>
      <c r="N23" s="235"/>
      <c r="O23" s="235"/>
      <c r="P23" s="235" t="s">
        <v>222</v>
      </c>
    </row>
    <row r="24" spans="1:18">
      <c r="A24" s="187"/>
      <c r="B24" s="187"/>
      <c r="C24" s="190"/>
      <c r="D24" s="187"/>
      <c r="E24" s="187"/>
      <c r="F24" s="187"/>
      <c r="G24" s="187"/>
      <c r="H24" s="187"/>
      <c r="I24" s="187"/>
      <c r="J24" s="190"/>
      <c r="K24" s="187"/>
      <c r="L24" s="187"/>
      <c r="M24" s="187"/>
      <c r="N24" s="187"/>
      <c r="O24" s="187"/>
      <c r="P24" s="190" t="s">
        <v>222</v>
      </c>
    </row>
    <row r="26" spans="1:18">
      <c r="A26" s="83" t="s">
        <v>197</v>
      </c>
      <c r="B26" s="223">
        <f>DAVERAGE(P2Database,"Market Capital",Filter_Criteria_P2Q2)</f>
        <v>67056004805.482758</v>
      </c>
    </row>
    <row r="27" spans="1:18">
      <c r="A27" s="83" t="s">
        <v>39</v>
      </c>
      <c r="B27" s="223">
        <f>DAVERAGE(P2Database,"Current Value",Filter_Criteria_P2Q2)</f>
        <v>5615.1468965517242</v>
      </c>
    </row>
    <row r="28" spans="1:18">
      <c r="A28" s="83" t="s">
        <v>198</v>
      </c>
      <c r="B28" s="224">
        <f>DAVERAGE(P2Database,"Return",Filter_Criteria_P2Q2)</f>
        <v>0.34482541284739282</v>
      </c>
    </row>
    <row r="29" spans="1:18">
      <c r="A29" s="83" t="s">
        <v>199</v>
      </c>
      <c r="B29" s="223">
        <f>DAVERAGE(P2Database,"Total Cost",Filter_Criteria_P2Q2)</f>
        <v>4220.5174827586197</v>
      </c>
    </row>
    <row r="30" spans="1:18">
      <c r="F30" s="155"/>
    </row>
    <row r="33" spans="1:18">
      <c r="D33" s="263"/>
      <c r="E33" s="263"/>
      <c r="F33" s="263"/>
      <c r="G33" s="263"/>
    </row>
    <row r="34" spans="1:18">
      <c r="D34" s="263"/>
      <c r="E34" s="263"/>
      <c r="F34" s="263"/>
      <c r="G34" s="263"/>
    </row>
    <row r="35" spans="1:18" ht="14">
      <c r="A35" s="152" t="s">
        <v>204</v>
      </c>
      <c r="B35" s="262">
        <f t="array" ref="B35">LARGE(IF(Portfolio!Q11:Q41="Large",IF(Portfolio!L11:L41=Portfolio!$L$11,Portfolio!N11:N41)),3)</f>
        <v>10880</v>
      </c>
    </row>
    <row r="36" spans="1:18">
      <c r="A36" s="151"/>
    </row>
    <row r="37" spans="1:18">
      <c r="A37" s="151"/>
    </row>
    <row r="40" spans="1:18">
      <c r="A40" s="83" t="s">
        <v>0</v>
      </c>
      <c r="B40" s="83" t="s">
        <v>1</v>
      </c>
      <c r="C40" s="83" t="s">
        <v>2</v>
      </c>
      <c r="D40" s="83" t="s">
        <v>3</v>
      </c>
      <c r="E40" s="83" t="s">
        <v>4</v>
      </c>
      <c r="F40" s="83" t="s">
        <v>5</v>
      </c>
      <c r="G40" s="83" t="s">
        <v>16</v>
      </c>
      <c r="H40" s="83" t="s">
        <v>17</v>
      </c>
      <c r="I40" s="83" t="s">
        <v>18</v>
      </c>
      <c r="J40" s="83" t="s">
        <v>19</v>
      </c>
      <c r="K40" s="83" t="s">
        <v>20</v>
      </c>
      <c r="L40" s="83" t="s">
        <v>21</v>
      </c>
      <c r="M40" s="83" t="s">
        <v>23</v>
      </c>
      <c r="N40" s="83" t="s">
        <v>24</v>
      </c>
      <c r="O40" s="83" t="s">
        <v>25</v>
      </c>
      <c r="P40" s="83" t="s">
        <v>26</v>
      </c>
      <c r="Q40" s="83" t="s">
        <v>22</v>
      </c>
      <c r="R40" s="49"/>
    </row>
    <row r="41" spans="1:18">
      <c r="A41" s="45" t="s">
        <v>171</v>
      </c>
      <c r="B41" s="45" t="s">
        <v>174</v>
      </c>
      <c r="C41" s="45" t="s">
        <v>12</v>
      </c>
      <c r="D41" s="45">
        <v>100</v>
      </c>
      <c r="E41" s="120">
        <v>40291</v>
      </c>
      <c r="F41" s="119">
        <v>28.53</v>
      </c>
      <c r="G41" s="173">
        <v>75323415209</v>
      </c>
      <c r="H41" s="174">
        <v>43.98</v>
      </c>
      <c r="I41" s="173">
        <v>43.59</v>
      </c>
      <c r="J41" s="39">
        <v>0.94</v>
      </c>
      <c r="K41" s="157">
        <v>28</v>
      </c>
      <c r="L41" s="156">
        <v>2881</v>
      </c>
      <c r="M41" s="156">
        <v>4398</v>
      </c>
      <c r="N41" s="172">
        <v>0.5265532801110725</v>
      </c>
      <c r="O41" s="158">
        <v>46.787234042553187</v>
      </c>
      <c r="P41" s="83" t="s">
        <v>216</v>
      </c>
      <c r="Q41" s="166">
        <v>2.5994020075090683E-2</v>
      </c>
      <c r="R41" s="49"/>
    </row>
    <row r="42" spans="1:18" ht="14">
      <c r="A42" s="48" t="s">
        <v>177</v>
      </c>
      <c r="B42" s="77" t="s">
        <v>144</v>
      </c>
      <c r="C42" s="45" t="s">
        <v>12</v>
      </c>
      <c r="D42" s="78">
        <v>100</v>
      </c>
      <c r="E42" s="79">
        <v>40291</v>
      </c>
      <c r="F42" s="80">
        <v>105.48</v>
      </c>
      <c r="G42" s="40">
        <v>123606162095</v>
      </c>
      <c r="H42" s="38">
        <v>162.72</v>
      </c>
      <c r="I42" s="39">
        <v>164.4</v>
      </c>
      <c r="J42" s="39">
        <v>9.06</v>
      </c>
      <c r="K42" s="157">
        <v>28</v>
      </c>
      <c r="L42" s="156">
        <v>10576</v>
      </c>
      <c r="M42" s="156">
        <v>16272</v>
      </c>
      <c r="N42" s="172">
        <v>0.53857791225416041</v>
      </c>
      <c r="O42" s="158">
        <v>17.960264900662249</v>
      </c>
      <c r="P42" s="83" t="s">
        <v>216</v>
      </c>
      <c r="Q42" s="166">
        <v>9.6174328026802092E-2</v>
      </c>
      <c r="R42" s="49"/>
    </row>
    <row r="43" spans="1:18" ht="28">
      <c r="A43" s="48" t="s">
        <v>168</v>
      </c>
      <c r="B43" s="77" t="s">
        <v>66</v>
      </c>
      <c r="C43" s="77" t="s">
        <v>6</v>
      </c>
      <c r="D43" s="78">
        <v>100</v>
      </c>
      <c r="E43" s="79">
        <v>40291</v>
      </c>
      <c r="F43" s="80">
        <v>67.88</v>
      </c>
      <c r="G43" s="173">
        <v>15857072051</v>
      </c>
      <c r="H43" s="174">
        <v>99.59</v>
      </c>
      <c r="I43" s="173">
        <v>98.04</v>
      </c>
      <c r="J43" s="39">
        <v>5.59</v>
      </c>
      <c r="K43" s="157">
        <v>28</v>
      </c>
      <c r="L43" s="156">
        <v>6816</v>
      </c>
      <c r="M43" s="156">
        <v>9959</v>
      </c>
      <c r="N43" s="172">
        <v>0.46112089201877932</v>
      </c>
      <c r="O43" s="158">
        <v>17.815742397137747</v>
      </c>
      <c r="P43" s="83" t="s">
        <v>216</v>
      </c>
      <c r="Q43" s="166">
        <v>5.8861856736659411E-2</v>
      </c>
      <c r="R43" s="49"/>
    </row>
    <row r="44" spans="1:18" ht="14">
      <c r="A44" s="48" t="s">
        <v>91</v>
      </c>
      <c r="B44" s="77" t="s">
        <v>145</v>
      </c>
      <c r="C44" s="77" t="s">
        <v>7</v>
      </c>
      <c r="D44" s="78">
        <v>100</v>
      </c>
      <c r="E44" s="79">
        <v>40291</v>
      </c>
      <c r="F44" s="80">
        <v>34.46</v>
      </c>
      <c r="G44" s="173">
        <v>17434838571</v>
      </c>
      <c r="H44" s="174">
        <v>57.5</v>
      </c>
      <c r="I44" s="173">
        <v>57.28</v>
      </c>
      <c r="J44" s="39">
        <v>1.61</v>
      </c>
      <c r="K44" s="157">
        <v>28</v>
      </c>
      <c r="L44" s="156">
        <v>3474</v>
      </c>
      <c r="M44" s="156">
        <v>5750</v>
      </c>
      <c r="N44" s="172">
        <v>0.65515256188831317</v>
      </c>
      <c r="O44" s="158">
        <v>35.714285714285715</v>
      </c>
      <c r="P44" s="83" t="s">
        <v>216</v>
      </c>
      <c r="Q44" s="166">
        <v>3.3984905737101279E-2</v>
      </c>
      <c r="R44" s="49"/>
    </row>
    <row r="45" spans="1:18" ht="14">
      <c r="A45" s="48" t="s">
        <v>44</v>
      </c>
      <c r="B45" s="77" t="s">
        <v>80</v>
      </c>
      <c r="C45" s="77" t="s">
        <v>7</v>
      </c>
      <c r="D45" s="78">
        <v>200</v>
      </c>
      <c r="E45" s="79">
        <v>40291</v>
      </c>
      <c r="F45" s="80">
        <v>23.15</v>
      </c>
      <c r="G45" s="173">
        <v>17224304201</v>
      </c>
      <c r="H45" s="174">
        <v>40.72</v>
      </c>
      <c r="I45" s="173">
        <v>40.479999999999997</v>
      </c>
      <c r="J45" s="39">
        <v>1.38</v>
      </c>
      <c r="K45" s="157">
        <v>28</v>
      </c>
      <c r="L45" s="156">
        <v>4658</v>
      </c>
      <c r="M45" s="156">
        <v>8144</v>
      </c>
      <c r="N45" s="172">
        <v>0.74838986689566334</v>
      </c>
      <c r="O45" s="158">
        <v>29.507246376811597</v>
      </c>
      <c r="P45" s="83" t="s">
        <v>216</v>
      </c>
      <c r="Q45" s="166">
        <v>4.8134447360513533E-2</v>
      </c>
      <c r="R45" s="49"/>
    </row>
    <row r="46" spans="1:18" ht="14">
      <c r="A46" s="48" t="s">
        <v>93</v>
      </c>
      <c r="B46" s="77" t="s">
        <v>70</v>
      </c>
      <c r="C46" s="77" t="s">
        <v>7</v>
      </c>
      <c r="D46" s="78">
        <v>100</v>
      </c>
      <c r="E46" s="79">
        <v>40291</v>
      </c>
      <c r="F46" s="80">
        <v>70.63</v>
      </c>
      <c r="G46" s="173">
        <v>33323671651</v>
      </c>
      <c r="H46" s="174">
        <v>57.88</v>
      </c>
      <c r="I46" s="173">
        <v>57.84</v>
      </c>
      <c r="J46" s="39">
        <v>2.7</v>
      </c>
      <c r="K46" s="157">
        <v>28</v>
      </c>
      <c r="L46" s="156">
        <v>7091</v>
      </c>
      <c r="M46" s="156">
        <v>5788</v>
      </c>
      <c r="N46" s="172">
        <v>-0.18375405443519954</v>
      </c>
      <c r="O46" s="158">
        <v>21.437037037037037</v>
      </c>
      <c r="P46" s="83" t="s">
        <v>216</v>
      </c>
      <c r="Q46" s="166">
        <v>3.4209501635885597E-2</v>
      </c>
      <c r="R46" s="49"/>
    </row>
    <row r="47" spans="1:18" ht="28">
      <c r="A47" s="48" t="s">
        <v>173</v>
      </c>
      <c r="B47" s="77" t="s">
        <v>175</v>
      </c>
      <c r="C47" s="77" t="s">
        <v>12</v>
      </c>
      <c r="D47" s="78">
        <v>150</v>
      </c>
      <c r="E47" s="79">
        <v>40291</v>
      </c>
      <c r="F47" s="80">
        <v>20.14</v>
      </c>
      <c r="G47" s="173">
        <v>109621013986</v>
      </c>
      <c r="H47" s="174">
        <v>40.71</v>
      </c>
      <c r="I47" s="173">
        <v>40.840000000000003</v>
      </c>
      <c r="J47" s="39">
        <v>0.37</v>
      </c>
      <c r="K47" s="157">
        <v>28</v>
      </c>
      <c r="L47" s="156">
        <v>3049</v>
      </c>
      <c r="M47" s="156">
        <v>6106.5</v>
      </c>
      <c r="N47" s="172">
        <v>1.002787799278452</v>
      </c>
      <c r="O47" s="158">
        <v>110.02702702702703</v>
      </c>
      <c r="P47" s="83" t="s">
        <v>216</v>
      </c>
      <c r="Q47" s="166">
        <v>3.6091969892801556E-2</v>
      </c>
      <c r="R47" s="49"/>
    </row>
    <row r="48" spans="1:18" ht="28">
      <c r="A48" s="43" t="s">
        <v>94</v>
      </c>
      <c r="B48" s="44" t="s">
        <v>146</v>
      </c>
      <c r="C48" s="77" t="s">
        <v>9</v>
      </c>
      <c r="D48" s="78">
        <v>30</v>
      </c>
      <c r="E48" s="79">
        <v>40291</v>
      </c>
      <c r="F48" s="80">
        <v>40.53</v>
      </c>
      <c r="G48" s="173">
        <v>11939394310</v>
      </c>
      <c r="H48" s="174">
        <v>96.01</v>
      </c>
      <c r="I48" s="173">
        <v>95.51</v>
      </c>
      <c r="J48" s="39">
        <v>4.34</v>
      </c>
      <c r="K48" s="157">
        <v>12.159000000000001</v>
      </c>
      <c r="L48" s="156">
        <v>1228.0590000000002</v>
      </c>
      <c r="M48" s="156">
        <v>2880.3</v>
      </c>
      <c r="N48" s="172">
        <v>1.3454084860743658</v>
      </c>
      <c r="O48" s="158">
        <v>22.122119815668206</v>
      </c>
      <c r="P48" s="83" t="s">
        <v>216</v>
      </c>
      <c r="Q48" s="166">
        <v>1.7023778086012666E-2</v>
      </c>
      <c r="R48" s="49"/>
    </row>
    <row r="49" spans="1:18" ht="14">
      <c r="A49" s="48" t="s">
        <v>52</v>
      </c>
      <c r="B49" s="77" t="s">
        <v>147</v>
      </c>
      <c r="C49" s="45" t="s">
        <v>10</v>
      </c>
      <c r="D49" s="23">
        <v>100</v>
      </c>
      <c r="E49" s="46">
        <v>40291</v>
      </c>
      <c r="F49" s="47">
        <v>18.53</v>
      </c>
      <c r="G49" s="173">
        <v>31076572682</v>
      </c>
      <c r="H49" s="174">
        <v>18.52</v>
      </c>
      <c r="I49" s="173">
        <v>18.38</v>
      </c>
      <c r="J49" s="39">
        <v>1.46</v>
      </c>
      <c r="K49" s="157">
        <v>18.53</v>
      </c>
      <c r="L49" s="156">
        <v>1871.53</v>
      </c>
      <c r="M49" s="156">
        <v>1852</v>
      </c>
      <c r="N49" s="172">
        <v>-1.0435312284601355E-2</v>
      </c>
      <c r="O49" s="158">
        <v>12.684931506849315</v>
      </c>
      <c r="P49" s="83" t="s">
        <v>216</v>
      </c>
      <c r="Q49" s="166">
        <v>1.0946094856541142E-2</v>
      </c>
      <c r="R49" s="49"/>
    </row>
    <row r="50" spans="1:18" ht="14">
      <c r="A50" s="48" t="s">
        <v>95</v>
      </c>
      <c r="B50" s="194" t="s">
        <v>148</v>
      </c>
      <c r="C50" s="77" t="s">
        <v>7</v>
      </c>
      <c r="D50" s="78">
        <v>100</v>
      </c>
      <c r="E50" s="79">
        <v>40291</v>
      </c>
      <c r="F50" s="80">
        <v>48.72</v>
      </c>
      <c r="G50" s="173">
        <v>23104464730</v>
      </c>
      <c r="H50" s="174">
        <v>108.8</v>
      </c>
      <c r="I50" s="173">
        <v>108.63</v>
      </c>
      <c r="J50" s="39">
        <v>3.34</v>
      </c>
      <c r="K50" s="157">
        <v>28</v>
      </c>
      <c r="L50" s="156">
        <v>4900</v>
      </c>
      <c r="M50" s="156">
        <v>10880</v>
      </c>
      <c r="N50" s="172">
        <v>1.2204081632653061</v>
      </c>
      <c r="O50" s="158">
        <v>32.574850299401199</v>
      </c>
      <c r="P50" s="83" t="s">
        <v>216</v>
      </c>
      <c r="Q50" s="166">
        <v>6.4305352072984684E-2</v>
      </c>
      <c r="R50" s="49"/>
    </row>
    <row r="51" spans="1:18" ht="42">
      <c r="A51" s="48" t="s">
        <v>96</v>
      </c>
      <c r="B51" s="77" t="s">
        <v>71</v>
      </c>
      <c r="C51" s="77" t="s">
        <v>10</v>
      </c>
      <c r="D51" s="78">
        <v>50</v>
      </c>
      <c r="E51" s="79">
        <v>40291</v>
      </c>
      <c r="F51" s="80">
        <v>126.99</v>
      </c>
      <c r="G51" s="173">
        <v>152508037371</v>
      </c>
      <c r="H51" s="174">
        <v>162.30000000000001</v>
      </c>
      <c r="I51" s="173">
        <v>161.69</v>
      </c>
      <c r="J51" s="39">
        <v>12.38</v>
      </c>
      <c r="K51" s="157">
        <v>28</v>
      </c>
      <c r="L51" s="156">
        <v>6377.5</v>
      </c>
      <c r="M51" s="156">
        <v>8115.0000000000009</v>
      </c>
      <c r="N51" s="172">
        <v>0.27244217953743644</v>
      </c>
      <c r="O51" s="158">
        <v>13.109854604200324</v>
      </c>
      <c r="P51" s="83" t="s">
        <v>216</v>
      </c>
      <c r="Q51" s="166">
        <v>4.7963045227230765E-2</v>
      </c>
      <c r="R51" s="49"/>
    </row>
    <row r="52" spans="1:18" ht="28">
      <c r="A52" s="48" t="s">
        <v>97</v>
      </c>
      <c r="B52" s="194" t="s">
        <v>149</v>
      </c>
      <c r="C52" s="77" t="s">
        <v>11</v>
      </c>
      <c r="D52" s="78">
        <v>100</v>
      </c>
      <c r="E52" s="79">
        <v>40291</v>
      </c>
      <c r="F52" s="80">
        <v>56.48</v>
      </c>
      <c r="G52" s="173">
        <v>3457914174</v>
      </c>
      <c r="H52" s="174">
        <v>39.96</v>
      </c>
      <c r="I52" s="173">
        <v>39</v>
      </c>
      <c r="J52" s="39">
        <v>2.0699999999999998</v>
      </c>
      <c r="K52" s="157">
        <v>28</v>
      </c>
      <c r="L52" s="156">
        <v>5676</v>
      </c>
      <c r="M52" s="156">
        <v>3996</v>
      </c>
      <c r="N52" s="172">
        <v>-0.29598308668076112</v>
      </c>
      <c r="O52" s="158">
        <v>19.304347826086957</v>
      </c>
      <c r="P52" s="83" t="s">
        <v>217</v>
      </c>
      <c r="Q52" s="166">
        <v>2.3618031882688122E-2</v>
      </c>
      <c r="R52" s="49"/>
    </row>
    <row r="53" spans="1:18" ht="28">
      <c r="A53" s="48" t="s">
        <v>98</v>
      </c>
      <c r="B53" s="77" t="s">
        <v>72</v>
      </c>
      <c r="C53" s="77" t="s">
        <v>11</v>
      </c>
      <c r="D53" s="78">
        <v>100</v>
      </c>
      <c r="E53" s="79">
        <v>40291</v>
      </c>
      <c r="F53" s="80">
        <v>34.229999999999997</v>
      </c>
      <c r="G53" s="173">
        <v>38749953547</v>
      </c>
      <c r="H53" s="174">
        <v>41.73</v>
      </c>
      <c r="I53" s="173">
        <v>41.28</v>
      </c>
      <c r="J53" s="39">
        <v>-1.64</v>
      </c>
      <c r="K53" s="157">
        <v>28</v>
      </c>
      <c r="L53" s="156">
        <v>3450.9999999999995</v>
      </c>
      <c r="M53" s="156">
        <v>4173</v>
      </c>
      <c r="N53" s="172">
        <v>0.20921472037090713</v>
      </c>
      <c r="O53" s="158">
        <v>0</v>
      </c>
      <c r="P53" s="83" t="s">
        <v>216</v>
      </c>
      <c r="Q53" s="166">
        <v>2.4664175937551935E-2</v>
      </c>
      <c r="R53" s="49"/>
    </row>
    <row r="54" spans="1:18" ht="28">
      <c r="A54" s="48" t="s">
        <v>99</v>
      </c>
      <c r="B54" s="77" t="s">
        <v>73</v>
      </c>
      <c r="C54" s="77" t="s">
        <v>12</v>
      </c>
      <c r="D54" s="78">
        <v>88</v>
      </c>
      <c r="E54" s="79">
        <v>40291</v>
      </c>
      <c r="F54" s="80">
        <v>65.040000000000006</v>
      </c>
      <c r="G54" s="173">
        <v>329020961069</v>
      </c>
      <c r="H54" s="174">
        <v>121.87</v>
      </c>
      <c r="I54" s="173">
        <v>121.37</v>
      </c>
      <c r="J54" s="39">
        <v>5.93</v>
      </c>
      <c r="K54" s="157">
        <v>28</v>
      </c>
      <c r="L54" s="156">
        <v>5751.52</v>
      </c>
      <c r="M54" s="156">
        <v>10724.560000000001</v>
      </c>
      <c r="N54" s="172">
        <v>0.86464795393217797</v>
      </c>
      <c r="O54" s="158">
        <v>20.551433389544691</v>
      </c>
      <c r="P54" s="83" t="s">
        <v>216</v>
      </c>
      <c r="Q54" s="166">
        <v>6.3386636638589025E-2</v>
      </c>
      <c r="R54" s="49"/>
    </row>
    <row r="55" spans="1:18" ht="14">
      <c r="A55" s="48" t="s">
        <v>100</v>
      </c>
      <c r="B55" s="77" t="s">
        <v>150</v>
      </c>
      <c r="C55" s="77" t="s">
        <v>13</v>
      </c>
      <c r="D55" s="78">
        <v>200</v>
      </c>
      <c r="E55" s="79">
        <v>40291</v>
      </c>
      <c r="F55" s="80">
        <v>49.48</v>
      </c>
      <c r="G55" s="173">
        <v>6752919598</v>
      </c>
      <c r="H55" s="174">
        <v>40.76</v>
      </c>
      <c r="I55" s="173">
        <v>39.18</v>
      </c>
      <c r="J55" s="39">
        <v>3.11</v>
      </c>
      <c r="K55" s="157">
        <v>28</v>
      </c>
      <c r="L55" s="156">
        <v>9924</v>
      </c>
      <c r="M55" s="156">
        <v>8152</v>
      </c>
      <c r="N55" s="172">
        <v>-0.17855703345425231</v>
      </c>
      <c r="O55" s="158">
        <v>13.106109324758842</v>
      </c>
      <c r="P55" s="83" t="s">
        <v>218</v>
      </c>
      <c r="Q55" s="166">
        <v>4.8181730707626019E-2</v>
      </c>
      <c r="R55" s="49"/>
    </row>
    <row r="56" spans="1:18" ht="28">
      <c r="A56" s="48" t="s">
        <v>122</v>
      </c>
      <c r="B56" s="77" t="s">
        <v>151</v>
      </c>
      <c r="C56" s="77" t="s">
        <v>12</v>
      </c>
      <c r="D56" s="78">
        <v>50</v>
      </c>
      <c r="E56" s="79">
        <v>40291</v>
      </c>
      <c r="F56" s="80">
        <v>35.46</v>
      </c>
      <c r="G56" s="173">
        <v>89250333937</v>
      </c>
      <c r="H56" s="174">
        <v>81.94</v>
      </c>
      <c r="I56" s="173">
        <v>80.89</v>
      </c>
      <c r="J56" s="39">
        <v>2.58</v>
      </c>
      <c r="K56" s="157">
        <v>17.73</v>
      </c>
      <c r="L56" s="156">
        <v>1790.73</v>
      </c>
      <c r="M56" s="156">
        <v>4097</v>
      </c>
      <c r="N56" s="172">
        <v>1.2878937639956889</v>
      </c>
      <c r="O56" s="158">
        <v>31.759689922480618</v>
      </c>
      <c r="P56" s="83" t="s">
        <v>216</v>
      </c>
      <c r="Q56" s="166">
        <v>2.4214984139983294E-2</v>
      </c>
      <c r="R56" s="49"/>
    </row>
    <row r="57" spans="1:18" ht="14">
      <c r="A57" s="48" t="s">
        <v>165</v>
      </c>
      <c r="B57" s="77" t="s">
        <v>152</v>
      </c>
      <c r="C57" s="77" t="s">
        <v>13</v>
      </c>
      <c r="D57" s="78">
        <v>150</v>
      </c>
      <c r="E57" s="79">
        <v>40291</v>
      </c>
      <c r="F57" s="80">
        <v>29.48</v>
      </c>
      <c r="G57" s="173">
        <v>8877882353</v>
      </c>
      <c r="H57" s="174">
        <v>30.01</v>
      </c>
      <c r="I57" s="173">
        <v>29.09</v>
      </c>
      <c r="J57" s="39">
        <v>1.99</v>
      </c>
      <c r="K57" s="157">
        <v>28</v>
      </c>
      <c r="L57" s="156">
        <v>4450</v>
      </c>
      <c r="M57" s="156">
        <v>4501.5</v>
      </c>
      <c r="N57" s="172">
        <v>1.1573033707865169E-2</v>
      </c>
      <c r="O57" s="158">
        <v>15.080402010050252</v>
      </c>
      <c r="P57" s="83" t="s">
        <v>218</v>
      </c>
      <c r="Q57" s="166">
        <v>2.6605748378358506E-2</v>
      </c>
      <c r="R57" s="49"/>
    </row>
    <row r="58" spans="1:18" ht="28">
      <c r="A58" s="48" t="s">
        <v>101</v>
      </c>
      <c r="B58" s="77" t="s">
        <v>153</v>
      </c>
      <c r="C58" s="77" t="s">
        <v>9</v>
      </c>
      <c r="D58" s="78">
        <v>50</v>
      </c>
      <c r="E58" s="79">
        <v>40291</v>
      </c>
      <c r="F58" s="80">
        <v>23.54</v>
      </c>
      <c r="G58" s="173">
        <v>8600521944</v>
      </c>
      <c r="H58" s="174">
        <v>25.21</v>
      </c>
      <c r="I58" s="173">
        <v>25.11</v>
      </c>
      <c r="J58" s="39">
        <v>0.92</v>
      </c>
      <c r="K58" s="157">
        <v>11.77</v>
      </c>
      <c r="L58" s="156">
        <v>1188.77</v>
      </c>
      <c r="M58" s="156">
        <v>1260.5</v>
      </c>
      <c r="N58" s="172">
        <v>6.0339678827695871E-2</v>
      </c>
      <c r="O58" s="158">
        <v>27.402173913043477</v>
      </c>
      <c r="P58" s="83" t="s">
        <v>218</v>
      </c>
      <c r="Q58" s="166">
        <v>7.4500823794115059E-3</v>
      </c>
      <c r="R58" s="49"/>
    </row>
    <row r="59" spans="1:18" ht="14">
      <c r="A59" s="48" t="s">
        <v>102</v>
      </c>
      <c r="B59" s="77" t="s">
        <v>74</v>
      </c>
      <c r="C59" s="77" t="s">
        <v>14</v>
      </c>
      <c r="D59" s="78">
        <v>240</v>
      </c>
      <c r="E59" s="79">
        <v>40291</v>
      </c>
      <c r="F59" s="80">
        <v>10.48</v>
      </c>
      <c r="G59" s="173">
        <v>1172951869</v>
      </c>
      <c r="H59" s="174">
        <v>8.7200000000000006</v>
      </c>
      <c r="I59" s="173">
        <v>8.6999999999999993</v>
      </c>
      <c r="J59" s="39">
        <v>-2.54</v>
      </c>
      <c r="K59" s="157">
        <v>25.152000000000005</v>
      </c>
      <c r="L59" s="156">
        <v>2540.3520000000003</v>
      </c>
      <c r="M59" s="156">
        <v>2092.8000000000002</v>
      </c>
      <c r="N59" s="172">
        <v>-0.17617715970070291</v>
      </c>
      <c r="O59" s="158">
        <v>0</v>
      </c>
      <c r="P59" s="83" t="s">
        <v>217</v>
      </c>
      <c r="Q59" s="166">
        <v>1.2369323604627055E-2</v>
      </c>
      <c r="R59" s="49"/>
    </row>
    <row r="60" spans="1:18" ht="28">
      <c r="A60" s="48" t="s">
        <v>103</v>
      </c>
      <c r="B60" s="77" t="s">
        <v>75</v>
      </c>
      <c r="C60" s="77" t="s">
        <v>14</v>
      </c>
      <c r="D60" s="78">
        <v>250</v>
      </c>
      <c r="E60" s="79">
        <v>40291</v>
      </c>
      <c r="F60" s="80">
        <v>19.21</v>
      </c>
      <c r="G60" s="173">
        <v>34041939137</v>
      </c>
      <c r="H60" s="174">
        <v>17.25</v>
      </c>
      <c r="I60" s="173">
        <v>16.96</v>
      </c>
      <c r="J60" s="39">
        <v>1.41</v>
      </c>
      <c r="K60" s="157">
        <v>28</v>
      </c>
      <c r="L60" s="156">
        <v>4830.5</v>
      </c>
      <c r="M60" s="156">
        <v>4312.5</v>
      </c>
      <c r="N60" s="172">
        <v>-0.10723527585136114</v>
      </c>
      <c r="O60" s="158">
        <v>12.23404255319149</v>
      </c>
      <c r="P60" s="83" t="s">
        <v>216</v>
      </c>
      <c r="Q60" s="166">
        <v>2.5488679302825959E-2</v>
      </c>
      <c r="R60" s="49"/>
    </row>
    <row r="61" spans="1:18" ht="14">
      <c r="A61" s="48" t="s">
        <v>167</v>
      </c>
      <c r="B61" s="77" t="s">
        <v>154</v>
      </c>
      <c r="C61" s="77" t="s">
        <v>10</v>
      </c>
      <c r="D61" s="78">
        <v>150</v>
      </c>
      <c r="E61" s="79">
        <v>40291</v>
      </c>
      <c r="F61" s="80">
        <v>30.96</v>
      </c>
      <c r="G61" s="173">
        <v>502598539492</v>
      </c>
      <c r="H61" s="174">
        <v>65.5</v>
      </c>
      <c r="I61" s="173">
        <v>65.040000000000006</v>
      </c>
      <c r="J61" s="39">
        <v>2.13</v>
      </c>
      <c r="K61" s="157">
        <v>28</v>
      </c>
      <c r="L61" s="156">
        <v>4672</v>
      </c>
      <c r="M61" s="156">
        <v>9825</v>
      </c>
      <c r="N61" s="172">
        <v>1.1029537671232876</v>
      </c>
      <c r="O61" s="158">
        <v>30.751173708920188</v>
      </c>
      <c r="P61" s="83" t="s">
        <v>216</v>
      </c>
      <c r="Q61" s="166">
        <v>5.8069860672525231E-2</v>
      </c>
      <c r="R61" s="49"/>
    </row>
    <row r="62" spans="1:18" ht="28">
      <c r="A62" s="77" t="s">
        <v>104</v>
      </c>
      <c r="B62" s="77" t="s">
        <v>76</v>
      </c>
      <c r="C62" s="77" t="s">
        <v>8</v>
      </c>
      <c r="D62" s="78">
        <v>50</v>
      </c>
      <c r="E62" s="79">
        <v>40291</v>
      </c>
      <c r="F62" s="80">
        <v>22.61</v>
      </c>
      <c r="G62" s="173">
        <v>3412743063</v>
      </c>
      <c r="H62" s="174">
        <v>11.77</v>
      </c>
      <c r="I62" s="173">
        <v>11.96</v>
      </c>
      <c r="J62" s="39">
        <v>-3.64</v>
      </c>
      <c r="K62" s="157">
        <v>11.305</v>
      </c>
      <c r="L62" s="156">
        <v>1141.8050000000001</v>
      </c>
      <c r="M62" s="156">
        <v>588.5</v>
      </c>
      <c r="N62" s="172">
        <v>-0.48458799882641962</v>
      </c>
      <c r="O62" s="158">
        <v>0</v>
      </c>
      <c r="P62" s="83" t="s">
        <v>217</v>
      </c>
      <c r="Q62" s="166">
        <v>3.4782812219624525E-3</v>
      </c>
      <c r="R62" s="49"/>
    </row>
    <row r="63" spans="1:18" ht="14">
      <c r="A63" s="77" t="s">
        <v>105</v>
      </c>
      <c r="B63" s="77" t="s">
        <v>77</v>
      </c>
      <c r="C63" s="77" t="s">
        <v>10</v>
      </c>
      <c r="D63" s="78">
        <v>200</v>
      </c>
      <c r="E63" s="79">
        <v>40291</v>
      </c>
      <c r="F63" s="80">
        <v>14.32</v>
      </c>
      <c r="G63" s="173">
        <v>4504830000</v>
      </c>
      <c r="H63" s="174">
        <v>35.89</v>
      </c>
      <c r="I63" s="173">
        <v>36.299999999999997</v>
      </c>
      <c r="J63" s="39">
        <v>1.49</v>
      </c>
      <c r="K63" s="157">
        <v>28</v>
      </c>
      <c r="L63" s="156">
        <v>2892</v>
      </c>
      <c r="M63" s="156">
        <v>7178</v>
      </c>
      <c r="N63" s="172">
        <v>1.4820193637621024</v>
      </c>
      <c r="O63" s="158">
        <v>24.087248322147651</v>
      </c>
      <c r="P63" s="83" t="s">
        <v>217</v>
      </c>
      <c r="Q63" s="166">
        <v>4.2424983196680519E-2</v>
      </c>
      <c r="R63" s="49"/>
    </row>
    <row r="64" spans="1:18" ht="14">
      <c r="A64" s="77" t="s">
        <v>106</v>
      </c>
      <c r="B64" s="77" t="s">
        <v>155</v>
      </c>
      <c r="C64" s="77" t="s">
        <v>8</v>
      </c>
      <c r="D64" s="78">
        <v>100</v>
      </c>
      <c r="E64" s="79">
        <v>40291</v>
      </c>
      <c r="F64" s="80">
        <v>43.63</v>
      </c>
      <c r="G64" s="173">
        <v>1279686860</v>
      </c>
      <c r="H64" s="174">
        <v>5.31</v>
      </c>
      <c r="I64" s="173">
        <v>5.23</v>
      </c>
      <c r="J64" s="39">
        <v>-3.82</v>
      </c>
      <c r="K64" s="157">
        <v>28</v>
      </c>
      <c r="L64" s="156">
        <v>4391</v>
      </c>
      <c r="M64" s="156">
        <v>531</v>
      </c>
      <c r="N64" s="172">
        <v>-0.87907082669095882</v>
      </c>
      <c r="O64" s="158">
        <v>0</v>
      </c>
      <c r="P64" s="83" t="s">
        <v>217</v>
      </c>
      <c r="Q64" s="166">
        <v>3.1384321645914399E-3</v>
      </c>
      <c r="R64" s="49"/>
    </row>
    <row r="65" spans="1:18" ht="14">
      <c r="A65" s="77" t="s">
        <v>107</v>
      </c>
      <c r="B65" s="77" t="s">
        <v>78</v>
      </c>
      <c r="C65" s="77" t="s">
        <v>14</v>
      </c>
      <c r="D65" s="78">
        <v>10</v>
      </c>
      <c r="E65" s="79">
        <v>40291</v>
      </c>
      <c r="F65" s="80">
        <v>20.86</v>
      </c>
      <c r="G65" s="173">
        <v>22579661595</v>
      </c>
      <c r="H65" s="174">
        <v>39.409999999999997</v>
      </c>
      <c r="I65" s="173">
        <v>38.869999999999997</v>
      </c>
      <c r="J65" s="39">
        <v>1.76</v>
      </c>
      <c r="K65" s="157">
        <v>2.0859999999999999</v>
      </c>
      <c r="L65" s="156">
        <v>210.68600000000001</v>
      </c>
      <c r="M65" s="156">
        <v>394.09999999999997</v>
      </c>
      <c r="N65" s="172">
        <v>0.87055618313509175</v>
      </c>
      <c r="O65" s="158">
        <v>22.392045454545453</v>
      </c>
      <c r="P65" s="83" t="s">
        <v>216</v>
      </c>
      <c r="Q65" s="166">
        <v>2.3292958871289761E-3</v>
      </c>
      <c r="R65" s="49"/>
    </row>
    <row r="66" spans="1:18" ht="14">
      <c r="A66" s="77" t="s">
        <v>108</v>
      </c>
      <c r="B66" s="77" t="s">
        <v>156</v>
      </c>
      <c r="C66" s="77" t="s">
        <v>13</v>
      </c>
      <c r="D66" s="78">
        <v>150</v>
      </c>
      <c r="E66" s="79">
        <v>40291</v>
      </c>
      <c r="F66" s="80">
        <v>48.01</v>
      </c>
      <c r="G66" s="173">
        <v>49645861156</v>
      </c>
      <c r="H66" s="174">
        <v>78.17</v>
      </c>
      <c r="I66" s="173">
        <v>76.900000000000006</v>
      </c>
      <c r="J66" s="39">
        <v>3.46</v>
      </c>
      <c r="K66" s="157">
        <v>28</v>
      </c>
      <c r="L66" s="156">
        <v>7229.5</v>
      </c>
      <c r="M66" s="156">
        <v>11725.5</v>
      </c>
      <c r="N66" s="172">
        <v>0.62189639670793273</v>
      </c>
      <c r="O66" s="158">
        <v>22.592485549132949</v>
      </c>
      <c r="P66" s="83" t="s">
        <v>216</v>
      </c>
      <c r="Q66" s="166">
        <v>6.9302610820935834E-2</v>
      </c>
      <c r="R66" s="49"/>
    </row>
    <row r="67" spans="1:18" ht="14">
      <c r="A67" s="77" t="s">
        <v>109</v>
      </c>
      <c r="B67" s="77" t="s">
        <v>157</v>
      </c>
      <c r="C67" s="77" t="s">
        <v>13</v>
      </c>
      <c r="D67" s="78">
        <v>100</v>
      </c>
      <c r="E67" s="79">
        <v>40291</v>
      </c>
      <c r="F67" s="80">
        <v>56.53</v>
      </c>
      <c r="G67" s="173">
        <v>224654982481</v>
      </c>
      <c r="H67" s="174">
        <v>74.8</v>
      </c>
      <c r="I67" s="173">
        <v>74.069999999999993</v>
      </c>
      <c r="J67" s="39">
        <v>4.38</v>
      </c>
      <c r="K67" s="157">
        <v>28</v>
      </c>
      <c r="L67" s="156">
        <v>5681</v>
      </c>
      <c r="M67" s="156">
        <v>7480</v>
      </c>
      <c r="N67" s="172">
        <v>0.31666960042246084</v>
      </c>
      <c r="O67" s="158">
        <v>17.077625570776256</v>
      </c>
      <c r="P67" s="83" t="s">
        <v>216</v>
      </c>
      <c r="Q67" s="166">
        <v>4.4209929550176968E-2</v>
      </c>
      <c r="R67" s="49"/>
    </row>
    <row r="68" spans="1:18" ht="28">
      <c r="A68" s="77" t="s">
        <v>110</v>
      </c>
      <c r="B68" s="77" t="s">
        <v>79</v>
      </c>
      <c r="C68" s="77" t="s">
        <v>15</v>
      </c>
      <c r="D68" s="78">
        <v>50</v>
      </c>
      <c r="E68" s="79">
        <v>40291</v>
      </c>
      <c r="F68" s="80">
        <v>59.24</v>
      </c>
      <c r="G68" s="173">
        <v>4953343427</v>
      </c>
      <c r="H68" s="174">
        <v>30.51</v>
      </c>
      <c r="I68" s="173">
        <v>28.42</v>
      </c>
      <c r="J68" s="39">
        <v>-2.81</v>
      </c>
      <c r="K68" s="157">
        <v>28</v>
      </c>
      <c r="L68" s="156">
        <v>2990</v>
      </c>
      <c r="M68" s="156">
        <v>1525.5</v>
      </c>
      <c r="N68" s="172">
        <v>-0.4897993311036789</v>
      </c>
      <c r="O68" s="158">
        <v>0</v>
      </c>
      <c r="P68" s="83" t="s">
        <v>217</v>
      </c>
      <c r="Q68" s="166">
        <v>9.0163432525126961E-3</v>
      </c>
      <c r="R68" s="49"/>
    </row>
    <row r="69" spans="1:18" ht="28">
      <c r="A69" s="77" t="s">
        <v>50</v>
      </c>
      <c r="B69" s="77" t="s">
        <v>158</v>
      </c>
      <c r="C69" s="77" t="s">
        <v>11</v>
      </c>
      <c r="D69" s="78">
        <v>50</v>
      </c>
      <c r="E69" s="79">
        <v>40291</v>
      </c>
      <c r="F69" s="80">
        <v>13.11</v>
      </c>
      <c r="G69" s="173">
        <v>50166800</v>
      </c>
      <c r="H69" s="174">
        <v>2.74</v>
      </c>
      <c r="I69" s="173">
        <v>2.76</v>
      </c>
      <c r="J69" s="39">
        <v>-89.3</v>
      </c>
      <c r="K69" s="157">
        <v>6.5549999999999997</v>
      </c>
      <c r="L69" s="156">
        <v>662.05499999999995</v>
      </c>
      <c r="M69" s="156">
        <v>137</v>
      </c>
      <c r="N69" s="172">
        <v>-0.7930685517064292</v>
      </c>
      <c r="O69" s="158">
        <v>0</v>
      </c>
      <c r="P69" s="83" t="s">
        <v>217</v>
      </c>
      <c r="Q69" s="166">
        <v>8.0972731930136963E-4</v>
      </c>
      <c r="R69" s="49"/>
    </row>
    <row r="70" spans="1:18">
      <c r="A70" s="49"/>
      <c r="B70" s="49"/>
      <c r="C70" s="49"/>
      <c r="D70" s="49"/>
      <c r="E70" s="49"/>
      <c r="F70" s="49"/>
      <c r="G70" s="49"/>
      <c r="H70" s="49"/>
      <c r="I70" s="49"/>
      <c r="J70" s="49"/>
      <c r="K70" s="49"/>
      <c r="L70" s="49"/>
      <c r="M70" s="49"/>
      <c r="N70" s="49"/>
      <c r="O70" s="49"/>
      <c r="P70" s="49"/>
      <c r="Q70" s="49"/>
      <c r="R70" s="49"/>
    </row>
    <row r="71" spans="1:18">
      <c r="A71" s="49"/>
      <c r="B71" s="49"/>
      <c r="C71" s="49"/>
      <c r="D71" s="49"/>
      <c r="E71" s="49"/>
      <c r="F71" s="49"/>
      <c r="G71" s="49"/>
      <c r="H71" s="49"/>
      <c r="I71" s="49"/>
      <c r="J71" s="49"/>
      <c r="K71" s="49"/>
      <c r="L71" s="49"/>
      <c r="M71" s="49"/>
      <c r="N71" s="49"/>
      <c r="O71" s="49"/>
      <c r="P71" s="49"/>
      <c r="Q71" s="49"/>
      <c r="R71" s="49"/>
    </row>
    <row r="72" spans="1:18" ht="13" customHeight="1">
      <c r="A72" s="316" t="s">
        <v>455</v>
      </c>
      <c r="B72" s="316"/>
      <c r="C72" s="316"/>
      <c r="D72" s="316"/>
      <c r="E72" s="316"/>
      <c r="F72" s="316"/>
      <c r="G72" s="316"/>
      <c r="H72" s="316"/>
      <c r="I72" s="49"/>
      <c r="J72" s="49"/>
      <c r="K72" s="49"/>
      <c r="L72" s="49"/>
      <c r="M72" s="49"/>
      <c r="N72" s="49"/>
      <c r="O72" s="49"/>
      <c r="P72" s="49"/>
      <c r="Q72" s="49"/>
      <c r="R72" s="49"/>
    </row>
    <row r="73" spans="1:18" ht="13" customHeight="1">
      <c r="A73" s="316"/>
      <c r="B73" s="316"/>
      <c r="C73" s="316"/>
      <c r="D73" s="316"/>
      <c r="E73" s="316"/>
      <c r="F73" s="316"/>
      <c r="G73" s="316"/>
      <c r="H73" s="316"/>
      <c r="I73" s="49"/>
      <c r="J73" s="49"/>
      <c r="K73" s="49"/>
      <c r="L73" s="49"/>
      <c r="M73" s="49"/>
      <c r="N73" s="49"/>
      <c r="O73" s="49"/>
      <c r="P73" s="49"/>
      <c r="Q73" s="49"/>
      <c r="R73" s="49"/>
    </row>
    <row r="74" spans="1:18">
      <c r="A74" s="316"/>
      <c r="B74" s="316"/>
      <c r="C74" s="316"/>
      <c r="D74" s="316"/>
      <c r="E74" s="316"/>
      <c r="F74" s="316"/>
      <c r="G74" s="316"/>
      <c r="H74" s="316"/>
      <c r="I74" s="49"/>
      <c r="J74" s="49"/>
      <c r="K74" s="49"/>
      <c r="L74" s="49"/>
      <c r="M74" s="49"/>
      <c r="N74" s="49"/>
      <c r="O74" s="49"/>
      <c r="P74" s="49"/>
      <c r="Q74" s="49"/>
      <c r="R74" s="49"/>
    </row>
    <row r="75" spans="1:18">
      <c r="A75" s="49"/>
      <c r="B75" s="49"/>
      <c r="C75" s="49"/>
      <c r="D75" s="49"/>
      <c r="E75" s="49"/>
      <c r="F75" s="49"/>
      <c r="G75" s="49"/>
      <c r="H75" s="49"/>
      <c r="I75" s="49"/>
      <c r="J75" s="49"/>
      <c r="K75" s="49"/>
      <c r="L75" s="49"/>
      <c r="M75" s="49"/>
      <c r="N75" s="49"/>
      <c r="O75" s="49"/>
      <c r="P75" s="49"/>
      <c r="Q75" s="49"/>
      <c r="R75" s="49"/>
    </row>
    <row r="76" spans="1:18">
      <c r="A76" s="49"/>
      <c r="B76" s="49"/>
      <c r="C76" s="49"/>
      <c r="D76" s="49"/>
      <c r="E76" s="49"/>
      <c r="F76" s="49"/>
      <c r="G76" s="49"/>
      <c r="H76" s="49"/>
      <c r="I76" s="49"/>
      <c r="J76" s="49"/>
      <c r="K76" s="49"/>
      <c r="L76" s="49"/>
      <c r="M76" s="49"/>
      <c r="N76" s="49"/>
      <c r="O76" s="49"/>
      <c r="P76" s="49"/>
      <c r="Q76" s="49"/>
      <c r="R76" s="49"/>
    </row>
  </sheetData>
  <mergeCells count="2">
    <mergeCell ref="A14:F14"/>
    <mergeCell ref="A72:H74"/>
  </mergeCells>
  <pageMargins left="0.7" right="0.7" top="0.75" bottom="0.75" header="0.3" footer="0.3"/>
  <pageSetup orientation="portrait" horizontalDpi="0" verticalDpi="0"/>
  <headerFooter>
    <oddHeader>&amp;CStephanie Agbenorhevi</oddHead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dimension ref="A10:R58"/>
  <sheetViews>
    <sheetView view="pageLayout" zoomScaleNormal="100" workbookViewId="0">
      <selection activeCell="B57" sqref="B57:E58"/>
    </sheetView>
  </sheetViews>
  <sheetFormatPr baseColWidth="10" defaultColWidth="8.83203125" defaultRowHeight="13"/>
  <cols>
    <col min="3" max="3" width="18.5" customWidth="1"/>
    <col min="4" max="4" width="15.83203125" customWidth="1"/>
    <col min="5" max="5" width="18.5" customWidth="1"/>
    <col min="6" max="6" width="13.5" customWidth="1"/>
    <col min="7" max="7" width="14" customWidth="1"/>
    <col min="8" max="8" width="18.83203125" customWidth="1"/>
    <col min="9" max="9" width="12.1640625" customWidth="1"/>
    <col min="10" max="10" width="15.83203125" customWidth="1"/>
    <col min="11" max="11" width="17.6640625" customWidth="1"/>
    <col min="12" max="12" width="11.5" customWidth="1"/>
    <col min="13" max="13" width="13.83203125" customWidth="1"/>
    <col min="14" max="14" width="14" customWidth="1"/>
    <col min="17" max="17" width="18.1640625" customWidth="1"/>
    <col min="18" max="18" width="17.5" customWidth="1"/>
  </cols>
  <sheetData>
    <row r="10" spans="1:18">
      <c r="A10" s="167"/>
      <c r="B10" s="83" t="s">
        <v>0</v>
      </c>
      <c r="C10" s="83" t="s">
        <v>1</v>
      </c>
      <c r="D10" s="83" t="s">
        <v>2</v>
      </c>
      <c r="E10" s="83" t="s">
        <v>3</v>
      </c>
      <c r="F10" s="83" t="s">
        <v>4</v>
      </c>
      <c r="G10" s="83" t="s">
        <v>5</v>
      </c>
      <c r="H10" s="83" t="s">
        <v>16</v>
      </c>
      <c r="I10" s="83" t="s">
        <v>17</v>
      </c>
      <c r="J10" s="83" t="s">
        <v>18</v>
      </c>
      <c r="K10" s="83" t="s">
        <v>19</v>
      </c>
      <c r="L10" s="83" t="s">
        <v>20</v>
      </c>
      <c r="M10" s="83" t="s">
        <v>21</v>
      </c>
      <c r="N10" s="83" t="s">
        <v>23</v>
      </c>
      <c r="O10" s="83" t="s">
        <v>24</v>
      </c>
      <c r="P10" s="83" t="s">
        <v>25</v>
      </c>
      <c r="Q10" s="83" t="s">
        <v>26</v>
      </c>
      <c r="R10" s="83" t="s">
        <v>22</v>
      </c>
    </row>
    <row r="11" spans="1:18">
      <c r="A11" s="167">
        <v>1</v>
      </c>
      <c r="B11" s="45" t="s">
        <v>171</v>
      </c>
      <c r="C11" s="45" t="s">
        <v>174</v>
      </c>
      <c r="D11" s="45" t="s">
        <v>12</v>
      </c>
      <c r="E11" s="45">
        <v>100</v>
      </c>
      <c r="F11" s="120">
        <v>40291</v>
      </c>
      <c r="G11" s="119">
        <v>28.53</v>
      </c>
      <c r="H11" s="173">
        <v>75323415209</v>
      </c>
      <c r="I11" s="174">
        <v>43.98</v>
      </c>
      <c r="J11" s="173">
        <v>43.59</v>
      </c>
      <c r="K11" s="39">
        <v>0.94</v>
      </c>
      <c r="L11" s="157">
        <f>IF((E11*G11*0.01)&gt;28,28,(E11*G11*0.01))</f>
        <v>28</v>
      </c>
      <c r="M11" s="156">
        <f>G11*E11+L11</f>
        <v>2881</v>
      </c>
      <c r="N11" s="156">
        <f>I11*E11</f>
        <v>4398</v>
      </c>
      <c r="O11" s="172">
        <f>(N11-M11)/M11</f>
        <v>0.5265532801110725</v>
      </c>
      <c r="P11" s="158">
        <f>IF(K11&lt;=0,0,(I11/K11))</f>
        <v>46.787234042553187</v>
      </c>
      <c r="Q11" s="83" t="str">
        <f>IF(H11&gt;10000000000,"Large",IF(AND(H11&gt;=5000000000,H11&lt;=10000000000),"Medium",IF(H11&lt;5000000000,"Small","N/A")))</f>
        <v>Large</v>
      </c>
      <c r="R11" s="166">
        <f>N11/SUM($N$11:$N$41)</f>
        <v>2.5386904988121725E-2</v>
      </c>
    </row>
    <row r="12" spans="1:18" ht="14">
      <c r="A12" s="167">
        <v>2</v>
      </c>
      <c r="B12" s="48" t="s">
        <v>177</v>
      </c>
      <c r="C12" s="77" t="s">
        <v>144</v>
      </c>
      <c r="D12" s="45" t="s">
        <v>12</v>
      </c>
      <c r="E12" s="78">
        <v>100</v>
      </c>
      <c r="F12" s="79">
        <v>40291</v>
      </c>
      <c r="G12" s="80">
        <v>105.48</v>
      </c>
      <c r="H12" s="40">
        <v>123606162095</v>
      </c>
      <c r="I12" s="38">
        <v>162.72</v>
      </c>
      <c r="J12" s="39">
        <v>164.4</v>
      </c>
      <c r="K12" s="39">
        <v>9.06</v>
      </c>
      <c r="L12" s="157">
        <f t="shared" ref="L12:L41" si="0">IF((E12*G12*0.01)&gt;28,28,(E12*G12*0.01))</f>
        <v>28</v>
      </c>
      <c r="M12" s="156">
        <f t="shared" ref="M12:M41" si="1">G12*E12+L12</f>
        <v>10576</v>
      </c>
      <c r="N12" s="156">
        <f t="shared" ref="N12:N41" si="2">I12*E12</f>
        <v>16272</v>
      </c>
      <c r="O12" s="172">
        <f t="shared" ref="O12:O41" si="3">(N12-M12)/M12</f>
        <v>0.53857791225416041</v>
      </c>
      <c r="P12" s="158">
        <f t="shared" ref="P12:P41" si="4">IF(K12&lt;=0,0,(I12/K12))</f>
        <v>17.960264900662249</v>
      </c>
      <c r="Q12" s="83" t="str">
        <f t="shared" ref="Q12:Q41" si="5">IF(H12&gt;10000000000,"Large",IF(AND(H12&gt;=5000000000,H12&lt;=10000000000),"Medium",IF(H12&lt;5000000000,"Small","N/A")))</f>
        <v>Large</v>
      </c>
      <c r="R12" s="166">
        <f t="shared" ref="R12:R41" si="6">N12/SUM($N$11:$N$41)</f>
        <v>9.3928085031086114E-2</v>
      </c>
    </row>
    <row r="13" spans="1:18" ht="28">
      <c r="A13" s="167">
        <v>3</v>
      </c>
      <c r="B13" s="48" t="s">
        <v>168</v>
      </c>
      <c r="C13" s="77" t="s">
        <v>66</v>
      </c>
      <c r="D13" s="77" t="s">
        <v>6</v>
      </c>
      <c r="E13" s="78">
        <v>100</v>
      </c>
      <c r="F13" s="79">
        <v>40291</v>
      </c>
      <c r="G13" s="80">
        <v>67.88</v>
      </c>
      <c r="H13" s="173">
        <v>15857072051</v>
      </c>
      <c r="I13" s="174">
        <v>99.59</v>
      </c>
      <c r="J13" s="173">
        <v>98.04</v>
      </c>
      <c r="K13" s="39">
        <v>5.59</v>
      </c>
      <c r="L13" s="157">
        <f t="shared" si="0"/>
        <v>28</v>
      </c>
      <c r="M13" s="156">
        <f t="shared" si="1"/>
        <v>6816</v>
      </c>
      <c r="N13" s="156">
        <f t="shared" si="2"/>
        <v>9959</v>
      </c>
      <c r="O13" s="172">
        <f t="shared" si="3"/>
        <v>0.46112089201877932</v>
      </c>
      <c r="P13" s="158">
        <f t="shared" si="4"/>
        <v>17.815742397137747</v>
      </c>
      <c r="Q13" s="83" t="str">
        <f t="shared" si="5"/>
        <v>Large</v>
      </c>
      <c r="R13" s="166">
        <f t="shared" si="6"/>
        <v>5.7487082031992785E-2</v>
      </c>
    </row>
    <row r="14" spans="1:18" ht="14">
      <c r="A14" s="167">
        <v>4</v>
      </c>
      <c r="B14" s="48" t="s">
        <v>91</v>
      </c>
      <c r="C14" s="77" t="s">
        <v>145</v>
      </c>
      <c r="D14" s="77" t="s">
        <v>7</v>
      </c>
      <c r="E14" s="78">
        <v>100</v>
      </c>
      <c r="F14" s="79">
        <v>40291</v>
      </c>
      <c r="G14" s="80">
        <v>34.46</v>
      </c>
      <c r="H14" s="173">
        <v>17434838571</v>
      </c>
      <c r="I14" s="174">
        <v>57.5</v>
      </c>
      <c r="J14" s="173">
        <v>57.28</v>
      </c>
      <c r="K14" s="39">
        <v>1.61</v>
      </c>
      <c r="L14" s="157">
        <f t="shared" si="0"/>
        <v>28</v>
      </c>
      <c r="M14" s="156">
        <f t="shared" si="1"/>
        <v>3474</v>
      </c>
      <c r="N14" s="156">
        <f t="shared" si="2"/>
        <v>5750</v>
      </c>
      <c r="O14" s="172">
        <f t="shared" si="3"/>
        <v>0.65515256188831317</v>
      </c>
      <c r="P14" s="158">
        <f t="shared" si="4"/>
        <v>35.714285714285715</v>
      </c>
      <c r="Q14" s="83" t="str">
        <f t="shared" si="5"/>
        <v>Large</v>
      </c>
      <c r="R14" s="166">
        <f t="shared" si="6"/>
        <v>3.3191155907617086E-2</v>
      </c>
    </row>
    <row r="15" spans="1:18" ht="14">
      <c r="A15" s="167">
        <v>5</v>
      </c>
      <c r="B15" s="48" t="s">
        <v>44</v>
      </c>
      <c r="C15" s="77" t="s">
        <v>80</v>
      </c>
      <c r="D15" s="77" t="s">
        <v>7</v>
      </c>
      <c r="E15" s="78">
        <v>200</v>
      </c>
      <c r="F15" s="79">
        <v>40291</v>
      </c>
      <c r="G15" s="80">
        <v>23.15</v>
      </c>
      <c r="H15" s="173">
        <v>17224304201</v>
      </c>
      <c r="I15" s="174">
        <v>40.72</v>
      </c>
      <c r="J15" s="173">
        <v>40.479999999999997</v>
      </c>
      <c r="K15" s="39">
        <v>1.38</v>
      </c>
      <c r="L15" s="157">
        <f t="shared" si="0"/>
        <v>28</v>
      </c>
      <c r="M15" s="156">
        <f t="shared" si="1"/>
        <v>4658</v>
      </c>
      <c r="N15" s="156">
        <f t="shared" si="2"/>
        <v>8144</v>
      </c>
      <c r="O15" s="172">
        <f t="shared" si="3"/>
        <v>0.74838986689566334</v>
      </c>
      <c r="P15" s="158">
        <f t="shared" si="4"/>
        <v>29.507246376811597</v>
      </c>
      <c r="Q15" s="83" t="str">
        <f t="shared" si="5"/>
        <v>Large</v>
      </c>
      <c r="R15" s="166">
        <f t="shared" si="6"/>
        <v>4.7010221515066702E-2</v>
      </c>
    </row>
    <row r="16" spans="1:18" ht="14">
      <c r="A16" s="167">
        <v>6</v>
      </c>
      <c r="B16" s="48" t="s">
        <v>92</v>
      </c>
      <c r="C16" s="77" t="s">
        <v>69</v>
      </c>
      <c r="D16" s="77" t="s">
        <v>8</v>
      </c>
      <c r="E16" s="78">
        <v>100</v>
      </c>
      <c r="F16" s="79">
        <v>40291</v>
      </c>
      <c r="G16" s="80">
        <v>69.41</v>
      </c>
      <c r="H16" s="173">
        <v>20590550000</v>
      </c>
      <c r="I16" s="174">
        <v>39.700000000000003</v>
      </c>
      <c r="J16" s="173">
        <v>39.25</v>
      </c>
      <c r="K16" s="39">
        <v>-6.52</v>
      </c>
      <c r="L16" s="157">
        <f t="shared" si="0"/>
        <v>28</v>
      </c>
      <c r="M16" s="156">
        <f t="shared" si="1"/>
        <v>6969</v>
      </c>
      <c r="N16" s="156">
        <f t="shared" si="2"/>
        <v>3970.0000000000005</v>
      </c>
      <c r="O16" s="172">
        <f t="shared" si="3"/>
        <v>-0.43033433778160418</v>
      </c>
      <c r="P16" s="158">
        <f t="shared" si="4"/>
        <v>0</v>
      </c>
      <c r="Q16" s="83" t="str">
        <f t="shared" si="5"/>
        <v>Large</v>
      </c>
      <c r="R16" s="166">
        <f t="shared" si="6"/>
        <v>2.2916328513606928E-2</v>
      </c>
    </row>
    <row r="17" spans="1:18" ht="14">
      <c r="A17" s="167">
        <v>7</v>
      </c>
      <c r="B17" s="48" t="s">
        <v>93</v>
      </c>
      <c r="C17" s="77" t="s">
        <v>70</v>
      </c>
      <c r="D17" s="77" t="s">
        <v>7</v>
      </c>
      <c r="E17" s="78">
        <v>100</v>
      </c>
      <c r="F17" s="79">
        <v>40291</v>
      </c>
      <c r="G17" s="80">
        <v>70.63</v>
      </c>
      <c r="H17" s="173">
        <v>33323671651</v>
      </c>
      <c r="I17" s="174">
        <v>57.88</v>
      </c>
      <c r="J17" s="173">
        <v>57.84</v>
      </c>
      <c r="K17" s="39">
        <v>2.7</v>
      </c>
      <c r="L17" s="157">
        <f t="shared" si="0"/>
        <v>28</v>
      </c>
      <c r="M17" s="156">
        <f t="shared" si="1"/>
        <v>7091</v>
      </c>
      <c r="N17" s="156">
        <f t="shared" si="2"/>
        <v>5788</v>
      </c>
      <c r="O17" s="172">
        <f t="shared" si="3"/>
        <v>-0.18375405443519954</v>
      </c>
      <c r="P17" s="158">
        <f t="shared" si="4"/>
        <v>21.437037037037037</v>
      </c>
      <c r="Q17" s="83" t="str">
        <f t="shared" si="5"/>
        <v>Large</v>
      </c>
      <c r="R17" s="166">
        <f t="shared" si="6"/>
        <v>3.3410506155354375E-2</v>
      </c>
    </row>
    <row r="18" spans="1:18" ht="14">
      <c r="A18" s="167">
        <v>8</v>
      </c>
      <c r="B18" s="48" t="s">
        <v>173</v>
      </c>
      <c r="C18" s="77" t="s">
        <v>175</v>
      </c>
      <c r="D18" s="77" t="s">
        <v>12</v>
      </c>
      <c r="E18" s="78">
        <v>150</v>
      </c>
      <c r="F18" s="79">
        <v>40291</v>
      </c>
      <c r="G18" s="80">
        <v>20.14</v>
      </c>
      <c r="H18" s="173">
        <v>109621013986</v>
      </c>
      <c r="I18" s="174">
        <v>40.71</v>
      </c>
      <c r="J18" s="173">
        <v>40.840000000000003</v>
      </c>
      <c r="K18" s="39">
        <v>0.37</v>
      </c>
      <c r="L18" s="157">
        <f t="shared" si="0"/>
        <v>28</v>
      </c>
      <c r="M18" s="156">
        <f t="shared" si="1"/>
        <v>3049</v>
      </c>
      <c r="N18" s="156">
        <f t="shared" si="2"/>
        <v>6106.5</v>
      </c>
      <c r="O18" s="172">
        <f t="shared" si="3"/>
        <v>1.002787799278452</v>
      </c>
      <c r="P18" s="158">
        <f t="shared" si="4"/>
        <v>110.02702702702703</v>
      </c>
      <c r="Q18" s="83" t="str">
        <f t="shared" si="5"/>
        <v>Large</v>
      </c>
      <c r="R18" s="166">
        <f t="shared" si="6"/>
        <v>3.5249007573889345E-2</v>
      </c>
    </row>
    <row r="19" spans="1:18" ht="14">
      <c r="A19" s="167">
        <v>9</v>
      </c>
      <c r="B19" s="43" t="s">
        <v>94</v>
      </c>
      <c r="C19" s="44" t="s">
        <v>146</v>
      </c>
      <c r="D19" s="77" t="s">
        <v>9</v>
      </c>
      <c r="E19" s="78">
        <v>30</v>
      </c>
      <c r="F19" s="79">
        <v>40291</v>
      </c>
      <c r="G19" s="80">
        <v>40.53</v>
      </c>
      <c r="H19" s="173">
        <v>11939394310</v>
      </c>
      <c r="I19" s="174">
        <v>96.01</v>
      </c>
      <c r="J19" s="173">
        <v>95.51</v>
      </c>
      <c r="K19" s="39">
        <v>4.34</v>
      </c>
      <c r="L19" s="157">
        <f t="shared" si="0"/>
        <v>12.159000000000001</v>
      </c>
      <c r="M19" s="156">
        <f t="shared" si="1"/>
        <v>1228.0590000000002</v>
      </c>
      <c r="N19" s="156">
        <f t="shared" si="2"/>
        <v>2880.3</v>
      </c>
      <c r="O19" s="172">
        <f t="shared" si="3"/>
        <v>1.3454084860743658</v>
      </c>
      <c r="P19" s="158">
        <f t="shared" si="4"/>
        <v>22.122119815668206</v>
      </c>
      <c r="Q19" s="83" t="str">
        <f t="shared" si="5"/>
        <v>Large</v>
      </c>
      <c r="R19" s="166">
        <f t="shared" si="6"/>
        <v>1.6626171540992954E-2</v>
      </c>
    </row>
    <row r="20" spans="1:18" ht="14">
      <c r="A20" s="167">
        <v>10</v>
      </c>
      <c r="B20" s="48" t="s">
        <v>52</v>
      </c>
      <c r="C20" s="77" t="s">
        <v>147</v>
      </c>
      <c r="D20" s="45" t="s">
        <v>10</v>
      </c>
      <c r="E20" s="23">
        <v>100</v>
      </c>
      <c r="F20" s="46">
        <v>40291</v>
      </c>
      <c r="G20" s="47">
        <v>18.53</v>
      </c>
      <c r="H20" s="173">
        <v>31076572682</v>
      </c>
      <c r="I20" s="174">
        <v>18.52</v>
      </c>
      <c r="J20" s="173">
        <v>18.38</v>
      </c>
      <c r="K20" s="39">
        <v>1.46</v>
      </c>
      <c r="L20" s="157">
        <f t="shared" si="0"/>
        <v>18.53</v>
      </c>
      <c r="M20" s="156">
        <f t="shared" si="1"/>
        <v>1871.53</v>
      </c>
      <c r="N20" s="156">
        <f t="shared" si="2"/>
        <v>1852</v>
      </c>
      <c r="O20" s="172">
        <f t="shared" si="3"/>
        <v>-1.0435312284601355E-2</v>
      </c>
      <c r="P20" s="158">
        <f t="shared" si="4"/>
        <v>12.684931506849315</v>
      </c>
      <c r="Q20" s="83" t="str">
        <f t="shared" si="5"/>
        <v>Large</v>
      </c>
      <c r="R20" s="166">
        <f t="shared" si="6"/>
        <v>1.0690438389722928E-2</v>
      </c>
    </row>
    <row r="21" spans="1:18" ht="14">
      <c r="A21" s="167">
        <v>11</v>
      </c>
      <c r="B21" s="48" t="s">
        <v>95</v>
      </c>
      <c r="C21" s="77" t="s">
        <v>148</v>
      </c>
      <c r="D21" s="77" t="s">
        <v>7</v>
      </c>
      <c r="E21" s="78">
        <v>100</v>
      </c>
      <c r="F21" s="79">
        <v>40291</v>
      </c>
      <c r="G21" s="80">
        <v>48.72</v>
      </c>
      <c r="H21" s="173">
        <v>23104464730</v>
      </c>
      <c r="I21" s="174">
        <v>108.8</v>
      </c>
      <c r="J21" s="173">
        <v>108.63</v>
      </c>
      <c r="K21" s="39">
        <v>3.34</v>
      </c>
      <c r="L21" s="157">
        <f t="shared" si="0"/>
        <v>28</v>
      </c>
      <c r="M21" s="156">
        <f t="shared" si="1"/>
        <v>4900</v>
      </c>
      <c r="N21" s="156">
        <f t="shared" si="2"/>
        <v>10880</v>
      </c>
      <c r="O21" s="172">
        <f t="shared" si="3"/>
        <v>1.2204081632653061</v>
      </c>
      <c r="P21" s="158">
        <f t="shared" si="4"/>
        <v>32.574850299401199</v>
      </c>
      <c r="Q21" s="83" t="str">
        <f t="shared" si="5"/>
        <v>Large</v>
      </c>
      <c r="R21" s="166">
        <f t="shared" si="6"/>
        <v>6.2803439352151977E-2</v>
      </c>
    </row>
    <row r="22" spans="1:18" ht="28">
      <c r="A22" s="167">
        <v>12</v>
      </c>
      <c r="B22" s="48" t="s">
        <v>96</v>
      </c>
      <c r="C22" s="77" t="s">
        <v>71</v>
      </c>
      <c r="D22" s="77" t="s">
        <v>10</v>
      </c>
      <c r="E22" s="78">
        <v>50</v>
      </c>
      <c r="F22" s="79">
        <v>40291</v>
      </c>
      <c r="G22" s="80">
        <v>126.99</v>
      </c>
      <c r="H22" s="173">
        <v>152508037371</v>
      </c>
      <c r="I22" s="244">
        <v>243.22319820000024</v>
      </c>
      <c r="J22" s="173">
        <v>161.69</v>
      </c>
      <c r="K22" s="39">
        <v>12.38</v>
      </c>
      <c r="L22" s="157">
        <f t="shared" si="0"/>
        <v>28</v>
      </c>
      <c r="M22" s="156">
        <f t="shared" si="1"/>
        <v>6377.5</v>
      </c>
      <c r="N22" s="156">
        <f>I22*E22</f>
        <v>12161.159910000011</v>
      </c>
      <c r="O22" s="172">
        <f t="shared" si="3"/>
        <v>0.9068851289690335</v>
      </c>
      <c r="P22" s="158">
        <f t="shared" si="4"/>
        <v>19.646461890145414</v>
      </c>
      <c r="Q22" s="83" t="str">
        <f t="shared" si="5"/>
        <v>Large</v>
      </c>
      <c r="R22" s="166">
        <f t="shared" si="6"/>
        <v>7.0198774711351802E-2</v>
      </c>
    </row>
    <row r="23" spans="1:18" ht="14">
      <c r="A23" s="167">
        <v>13</v>
      </c>
      <c r="B23" s="48" t="s">
        <v>97</v>
      </c>
      <c r="C23" s="77" t="s">
        <v>149</v>
      </c>
      <c r="D23" s="77" t="s">
        <v>11</v>
      </c>
      <c r="E23" s="78">
        <v>100</v>
      </c>
      <c r="F23" s="79">
        <v>40291</v>
      </c>
      <c r="G23" s="80">
        <v>56.48</v>
      </c>
      <c r="H23" s="173">
        <v>3457914174</v>
      </c>
      <c r="I23" s="174">
        <v>39.96</v>
      </c>
      <c r="J23" s="173">
        <v>39</v>
      </c>
      <c r="K23" s="39">
        <v>2.0699999999999998</v>
      </c>
      <c r="L23" s="157">
        <f t="shared" si="0"/>
        <v>28</v>
      </c>
      <c r="M23" s="156">
        <f t="shared" si="1"/>
        <v>5676</v>
      </c>
      <c r="N23" s="156">
        <f t="shared" si="2"/>
        <v>3996</v>
      </c>
      <c r="O23" s="172">
        <f t="shared" si="3"/>
        <v>-0.29598308668076112</v>
      </c>
      <c r="P23" s="158">
        <f t="shared" si="4"/>
        <v>19.304347826086957</v>
      </c>
      <c r="Q23" s="83" t="str">
        <f t="shared" si="5"/>
        <v>Small</v>
      </c>
      <c r="R23" s="166">
        <f t="shared" si="6"/>
        <v>2.3066410262058759E-2</v>
      </c>
    </row>
    <row r="24" spans="1:18" ht="14">
      <c r="A24" s="167">
        <v>14</v>
      </c>
      <c r="B24" s="48" t="s">
        <v>98</v>
      </c>
      <c r="C24" s="77" t="s">
        <v>72</v>
      </c>
      <c r="D24" s="77" t="s">
        <v>11</v>
      </c>
      <c r="E24" s="78">
        <v>100</v>
      </c>
      <c r="F24" s="79">
        <v>40291</v>
      </c>
      <c r="G24" s="80">
        <v>34.229999999999997</v>
      </c>
      <c r="H24" s="173">
        <v>38749953547</v>
      </c>
      <c r="I24" s="174">
        <v>41.73</v>
      </c>
      <c r="J24" s="173">
        <v>41.28</v>
      </c>
      <c r="K24" s="39">
        <v>-1.64</v>
      </c>
      <c r="L24" s="157">
        <f t="shared" si="0"/>
        <v>28</v>
      </c>
      <c r="M24" s="156">
        <f t="shared" si="1"/>
        <v>3450.9999999999995</v>
      </c>
      <c r="N24" s="156">
        <f t="shared" si="2"/>
        <v>4173</v>
      </c>
      <c r="O24" s="172">
        <f t="shared" si="3"/>
        <v>0.20921472037090713</v>
      </c>
      <c r="P24" s="158">
        <f t="shared" si="4"/>
        <v>0</v>
      </c>
      <c r="Q24" s="83" t="str">
        <f t="shared" si="5"/>
        <v>Large</v>
      </c>
      <c r="R24" s="166">
        <f t="shared" si="6"/>
        <v>2.408812062651932E-2</v>
      </c>
    </row>
    <row r="25" spans="1:18" ht="14">
      <c r="A25" s="167">
        <v>15</v>
      </c>
      <c r="B25" s="48" t="s">
        <v>99</v>
      </c>
      <c r="C25" s="77" t="s">
        <v>73</v>
      </c>
      <c r="D25" s="77" t="s">
        <v>12</v>
      </c>
      <c r="E25" s="78">
        <v>88</v>
      </c>
      <c r="F25" s="79">
        <v>40291</v>
      </c>
      <c r="G25" s="80">
        <v>65.040000000000006</v>
      </c>
      <c r="H25" s="173">
        <v>329020961069</v>
      </c>
      <c r="I25" s="174">
        <v>121.87</v>
      </c>
      <c r="J25" s="173">
        <v>121.37</v>
      </c>
      <c r="K25" s="39">
        <v>5.93</v>
      </c>
      <c r="L25" s="157">
        <f t="shared" si="0"/>
        <v>28</v>
      </c>
      <c r="M25" s="156">
        <f t="shared" si="1"/>
        <v>5751.52</v>
      </c>
      <c r="N25" s="156">
        <f t="shared" si="2"/>
        <v>10724.560000000001</v>
      </c>
      <c r="O25" s="172">
        <f t="shared" si="3"/>
        <v>0.86464795393217797</v>
      </c>
      <c r="P25" s="158">
        <f t="shared" si="4"/>
        <v>20.551433389544691</v>
      </c>
      <c r="Q25" s="83" t="str">
        <f t="shared" si="5"/>
        <v>Large</v>
      </c>
      <c r="R25" s="166">
        <f t="shared" si="6"/>
        <v>6.1906181391407633E-2</v>
      </c>
    </row>
    <row r="26" spans="1:18" ht="14">
      <c r="A26" s="167">
        <v>16</v>
      </c>
      <c r="B26" s="48" t="s">
        <v>100</v>
      </c>
      <c r="C26" s="77" t="s">
        <v>150</v>
      </c>
      <c r="D26" s="77" t="s">
        <v>13</v>
      </c>
      <c r="E26" s="78">
        <v>200</v>
      </c>
      <c r="F26" s="79">
        <v>40291</v>
      </c>
      <c r="G26" s="80">
        <v>49.48</v>
      </c>
      <c r="H26" s="173">
        <v>6752919598</v>
      </c>
      <c r="I26" s="174">
        <v>40.76</v>
      </c>
      <c r="J26" s="173">
        <v>39.18</v>
      </c>
      <c r="K26" s="39">
        <v>3.11</v>
      </c>
      <c r="L26" s="157">
        <f t="shared" si="0"/>
        <v>28</v>
      </c>
      <c r="M26" s="156">
        <f t="shared" si="1"/>
        <v>9924</v>
      </c>
      <c r="N26" s="156">
        <f t="shared" si="2"/>
        <v>8152</v>
      </c>
      <c r="O26" s="172">
        <f t="shared" si="3"/>
        <v>-0.17855703345425231</v>
      </c>
      <c r="P26" s="158">
        <f t="shared" si="4"/>
        <v>13.106109324758842</v>
      </c>
      <c r="Q26" s="83" t="str">
        <f t="shared" si="5"/>
        <v>Medium</v>
      </c>
      <c r="R26" s="166">
        <f t="shared" si="6"/>
        <v>4.7056400514590341E-2</v>
      </c>
    </row>
    <row r="27" spans="1:18" ht="14">
      <c r="A27" s="167">
        <v>17</v>
      </c>
      <c r="B27" s="48" t="s">
        <v>122</v>
      </c>
      <c r="C27" s="77" t="s">
        <v>151</v>
      </c>
      <c r="D27" s="77" t="s">
        <v>12</v>
      </c>
      <c r="E27" s="78">
        <v>50</v>
      </c>
      <c r="F27" s="79">
        <v>40291</v>
      </c>
      <c r="G27" s="80">
        <v>35.46</v>
      </c>
      <c r="H27" s="173">
        <v>89250333937</v>
      </c>
      <c r="I27" s="174">
        <v>81.94</v>
      </c>
      <c r="J27" s="173">
        <v>80.89</v>
      </c>
      <c r="K27" s="39">
        <v>2.58</v>
      </c>
      <c r="L27" s="157">
        <f t="shared" si="0"/>
        <v>17.73</v>
      </c>
      <c r="M27" s="156">
        <f t="shared" si="1"/>
        <v>1790.73</v>
      </c>
      <c r="N27" s="156">
        <f t="shared" si="2"/>
        <v>4097</v>
      </c>
      <c r="O27" s="172">
        <f t="shared" si="3"/>
        <v>1.2878937639956889</v>
      </c>
      <c r="P27" s="158">
        <f t="shared" si="4"/>
        <v>31.759689922480618</v>
      </c>
      <c r="Q27" s="83" t="str">
        <f t="shared" si="5"/>
        <v>Large</v>
      </c>
      <c r="R27" s="166">
        <f t="shared" si="6"/>
        <v>2.3649420131044728E-2</v>
      </c>
    </row>
    <row r="28" spans="1:18" ht="14">
      <c r="A28" s="167">
        <v>18</v>
      </c>
      <c r="B28" s="48" t="s">
        <v>165</v>
      </c>
      <c r="C28" s="77" t="s">
        <v>152</v>
      </c>
      <c r="D28" s="77" t="s">
        <v>13</v>
      </c>
      <c r="E28" s="78">
        <v>150</v>
      </c>
      <c r="F28" s="79">
        <v>40291</v>
      </c>
      <c r="G28" s="80">
        <v>29.48</v>
      </c>
      <c r="H28" s="173">
        <v>8877882353</v>
      </c>
      <c r="I28" s="174">
        <v>30.01</v>
      </c>
      <c r="J28" s="173">
        <v>29.09</v>
      </c>
      <c r="K28" s="39">
        <v>1.99</v>
      </c>
      <c r="L28" s="157">
        <f t="shared" si="0"/>
        <v>28</v>
      </c>
      <c r="M28" s="156">
        <f t="shared" si="1"/>
        <v>4450</v>
      </c>
      <c r="N28" s="156">
        <f t="shared" si="2"/>
        <v>4501.5</v>
      </c>
      <c r="O28" s="172">
        <f t="shared" si="3"/>
        <v>1.1573033707865169E-2</v>
      </c>
      <c r="P28" s="158">
        <f t="shared" si="4"/>
        <v>15.080402010050252</v>
      </c>
      <c r="Q28" s="83" t="str">
        <f t="shared" si="5"/>
        <v>Medium</v>
      </c>
      <c r="R28" s="166">
        <f t="shared" si="6"/>
        <v>2.5984345794458834E-2</v>
      </c>
    </row>
    <row r="29" spans="1:18" ht="14">
      <c r="A29" s="167">
        <v>19</v>
      </c>
      <c r="B29" s="48" t="s">
        <v>101</v>
      </c>
      <c r="C29" s="77" t="s">
        <v>153</v>
      </c>
      <c r="D29" s="77" t="s">
        <v>9</v>
      </c>
      <c r="E29" s="78">
        <v>50</v>
      </c>
      <c r="F29" s="79">
        <v>40291</v>
      </c>
      <c r="G29" s="80">
        <v>23.54</v>
      </c>
      <c r="H29" s="173">
        <v>8600521944</v>
      </c>
      <c r="I29" s="174">
        <v>25.21</v>
      </c>
      <c r="J29" s="173">
        <v>25.11</v>
      </c>
      <c r="K29" s="39">
        <v>0.92</v>
      </c>
      <c r="L29" s="157">
        <f t="shared" si="0"/>
        <v>11.77</v>
      </c>
      <c r="M29" s="156">
        <f t="shared" si="1"/>
        <v>1188.77</v>
      </c>
      <c r="N29" s="156">
        <f t="shared" si="2"/>
        <v>1260.5</v>
      </c>
      <c r="O29" s="172">
        <f t="shared" si="3"/>
        <v>6.0339678827695871E-2</v>
      </c>
      <c r="P29" s="158">
        <f t="shared" si="4"/>
        <v>27.402173913043477</v>
      </c>
      <c r="Q29" s="83" t="str">
        <f t="shared" si="5"/>
        <v>Medium</v>
      </c>
      <c r="R29" s="166">
        <f t="shared" si="6"/>
        <v>7.2760786124437104E-3</v>
      </c>
    </row>
    <row r="30" spans="1:18" ht="14">
      <c r="A30" s="167">
        <v>20</v>
      </c>
      <c r="B30" s="48" t="s">
        <v>102</v>
      </c>
      <c r="C30" s="77" t="s">
        <v>74</v>
      </c>
      <c r="D30" s="77" t="s">
        <v>14</v>
      </c>
      <c r="E30" s="78">
        <v>240</v>
      </c>
      <c r="F30" s="79">
        <v>40291</v>
      </c>
      <c r="G30" s="80">
        <v>10.48</v>
      </c>
      <c r="H30" s="173">
        <v>1172951869</v>
      </c>
      <c r="I30" s="174">
        <v>8.7200000000000006</v>
      </c>
      <c r="J30" s="173">
        <v>8.6999999999999993</v>
      </c>
      <c r="K30" s="39">
        <v>-2.54</v>
      </c>
      <c r="L30" s="157">
        <f t="shared" si="0"/>
        <v>25.152000000000005</v>
      </c>
      <c r="M30" s="156">
        <f t="shared" si="1"/>
        <v>2540.3520000000003</v>
      </c>
      <c r="N30" s="156">
        <f t="shared" si="2"/>
        <v>2092.8000000000002</v>
      </c>
      <c r="O30" s="172">
        <f t="shared" si="3"/>
        <v>-0.17617715970070291</v>
      </c>
      <c r="P30" s="158">
        <f t="shared" si="4"/>
        <v>0</v>
      </c>
      <c r="Q30" s="83" t="str">
        <f t="shared" si="5"/>
        <v>Small</v>
      </c>
      <c r="R30" s="166">
        <f t="shared" si="6"/>
        <v>1.2080426275384528E-2</v>
      </c>
    </row>
    <row r="31" spans="1:18" ht="28">
      <c r="A31" s="167">
        <v>21</v>
      </c>
      <c r="B31" s="48" t="s">
        <v>103</v>
      </c>
      <c r="C31" s="77" t="s">
        <v>75</v>
      </c>
      <c r="D31" s="77" t="s">
        <v>14</v>
      </c>
      <c r="E31" s="78">
        <v>250</v>
      </c>
      <c r="F31" s="79">
        <v>40291</v>
      </c>
      <c r="G31" s="80">
        <v>19.21</v>
      </c>
      <c r="H31" s="173">
        <v>34041939137</v>
      </c>
      <c r="I31" s="174">
        <v>17.25</v>
      </c>
      <c r="J31" s="173">
        <v>16.96</v>
      </c>
      <c r="K31" s="39">
        <v>1.41</v>
      </c>
      <c r="L31" s="157">
        <f t="shared" si="0"/>
        <v>28</v>
      </c>
      <c r="M31" s="156">
        <f t="shared" si="1"/>
        <v>4830.5</v>
      </c>
      <c r="N31" s="156">
        <f t="shared" si="2"/>
        <v>4312.5</v>
      </c>
      <c r="O31" s="172">
        <f t="shared" si="3"/>
        <v>-0.10723527585136114</v>
      </c>
      <c r="P31" s="158">
        <f t="shared" si="4"/>
        <v>12.23404255319149</v>
      </c>
      <c r="Q31" s="83" t="str">
        <f t="shared" si="5"/>
        <v>Large</v>
      </c>
      <c r="R31" s="166">
        <f t="shared" si="6"/>
        <v>2.4893366930712812E-2</v>
      </c>
    </row>
    <row r="32" spans="1:18" ht="14">
      <c r="A32" s="167">
        <v>22</v>
      </c>
      <c r="B32" s="48" t="s">
        <v>167</v>
      </c>
      <c r="C32" s="77" t="s">
        <v>154</v>
      </c>
      <c r="D32" s="77" t="s">
        <v>10</v>
      </c>
      <c r="E32" s="78">
        <v>150</v>
      </c>
      <c r="F32" s="79">
        <v>40291</v>
      </c>
      <c r="G32" s="80">
        <v>30.96</v>
      </c>
      <c r="H32" s="173">
        <v>502598539492</v>
      </c>
      <c r="I32" s="174">
        <v>65.5</v>
      </c>
      <c r="J32" s="173">
        <v>65.040000000000006</v>
      </c>
      <c r="K32" s="39">
        <v>2.13</v>
      </c>
      <c r="L32" s="157">
        <f t="shared" si="0"/>
        <v>28</v>
      </c>
      <c r="M32" s="156">
        <f t="shared" si="1"/>
        <v>4672</v>
      </c>
      <c r="N32" s="156">
        <f t="shared" si="2"/>
        <v>9825</v>
      </c>
      <c r="O32" s="172">
        <f t="shared" si="3"/>
        <v>1.1029537671232876</v>
      </c>
      <c r="P32" s="158">
        <f t="shared" si="4"/>
        <v>30.751173708920188</v>
      </c>
      <c r="Q32" s="83" t="str">
        <f t="shared" si="5"/>
        <v>Large</v>
      </c>
      <c r="R32" s="166">
        <f t="shared" si="6"/>
        <v>5.6713583789971794E-2</v>
      </c>
    </row>
    <row r="33" spans="1:18" ht="14">
      <c r="A33" s="167">
        <v>23</v>
      </c>
      <c r="B33" s="77" t="s">
        <v>104</v>
      </c>
      <c r="C33" s="77" t="s">
        <v>76</v>
      </c>
      <c r="D33" s="77" t="s">
        <v>8</v>
      </c>
      <c r="E33" s="78">
        <v>50</v>
      </c>
      <c r="F33" s="79">
        <v>40291</v>
      </c>
      <c r="G33" s="80">
        <v>22.61</v>
      </c>
      <c r="H33" s="173">
        <v>3412743063</v>
      </c>
      <c r="I33" s="174">
        <v>11.77</v>
      </c>
      <c r="J33" s="173">
        <v>11.96</v>
      </c>
      <c r="K33" s="39">
        <v>-3.64</v>
      </c>
      <c r="L33" s="157">
        <f t="shared" si="0"/>
        <v>11.305</v>
      </c>
      <c r="M33" s="156">
        <f t="shared" si="1"/>
        <v>1141.8050000000001</v>
      </c>
      <c r="N33" s="156">
        <f t="shared" si="2"/>
        <v>588.5</v>
      </c>
      <c r="O33" s="172">
        <f t="shared" si="3"/>
        <v>-0.48458799882641962</v>
      </c>
      <c r="P33" s="158">
        <f t="shared" si="4"/>
        <v>0</v>
      </c>
      <c r="Q33" s="83" t="str">
        <f t="shared" si="5"/>
        <v>Small</v>
      </c>
      <c r="R33" s="166">
        <f t="shared" si="6"/>
        <v>3.3970426524578528E-3</v>
      </c>
    </row>
    <row r="34" spans="1:18" ht="14">
      <c r="A34" s="167">
        <v>24</v>
      </c>
      <c r="B34" s="77" t="s">
        <v>105</v>
      </c>
      <c r="C34" s="77" t="s">
        <v>77</v>
      </c>
      <c r="D34" s="77" t="s">
        <v>10</v>
      </c>
      <c r="E34" s="78">
        <v>200</v>
      </c>
      <c r="F34" s="79">
        <v>40291</v>
      </c>
      <c r="G34" s="80">
        <v>14.32</v>
      </c>
      <c r="H34" s="173">
        <v>4504830000</v>
      </c>
      <c r="I34" s="174">
        <v>35.89</v>
      </c>
      <c r="J34" s="173">
        <v>36.299999999999997</v>
      </c>
      <c r="K34" s="39">
        <v>1.49</v>
      </c>
      <c r="L34" s="157">
        <f t="shared" si="0"/>
        <v>28</v>
      </c>
      <c r="M34" s="156">
        <f t="shared" si="1"/>
        <v>2892</v>
      </c>
      <c r="N34" s="156">
        <f t="shared" si="2"/>
        <v>7178</v>
      </c>
      <c r="O34" s="172">
        <f t="shared" si="3"/>
        <v>1.4820193637621024</v>
      </c>
      <c r="P34" s="158">
        <f t="shared" si="4"/>
        <v>24.087248322147651</v>
      </c>
      <c r="Q34" s="83" t="str">
        <f t="shared" si="5"/>
        <v>Small</v>
      </c>
      <c r="R34" s="166">
        <f t="shared" si="6"/>
        <v>4.1434107322587031E-2</v>
      </c>
    </row>
    <row r="35" spans="1:18" ht="14">
      <c r="A35" s="167">
        <v>25</v>
      </c>
      <c r="B35" s="77" t="s">
        <v>106</v>
      </c>
      <c r="C35" s="77" t="s">
        <v>155</v>
      </c>
      <c r="D35" s="77" t="s">
        <v>8</v>
      </c>
      <c r="E35" s="78">
        <v>100</v>
      </c>
      <c r="F35" s="79">
        <v>40291</v>
      </c>
      <c r="G35" s="80">
        <v>43.63</v>
      </c>
      <c r="H35" s="173">
        <v>1279686860</v>
      </c>
      <c r="I35" s="174">
        <v>5.31</v>
      </c>
      <c r="J35" s="173">
        <v>5.23</v>
      </c>
      <c r="K35" s="39">
        <v>-3.82</v>
      </c>
      <c r="L35" s="157">
        <f t="shared" si="0"/>
        <v>28</v>
      </c>
      <c r="M35" s="156">
        <f t="shared" si="1"/>
        <v>4391</v>
      </c>
      <c r="N35" s="156">
        <f t="shared" si="2"/>
        <v>531</v>
      </c>
      <c r="O35" s="172">
        <f t="shared" si="3"/>
        <v>-0.87907082669095882</v>
      </c>
      <c r="P35" s="158">
        <f t="shared" si="4"/>
        <v>0</v>
      </c>
      <c r="Q35" s="83" t="str">
        <f t="shared" si="5"/>
        <v>Small</v>
      </c>
      <c r="R35" s="166">
        <f t="shared" si="6"/>
        <v>3.0651310933816817E-3</v>
      </c>
    </row>
    <row r="36" spans="1:18" ht="14">
      <c r="A36" s="167">
        <v>26</v>
      </c>
      <c r="B36" s="77" t="s">
        <v>107</v>
      </c>
      <c r="C36" s="77" t="s">
        <v>78</v>
      </c>
      <c r="D36" s="77" t="s">
        <v>14</v>
      </c>
      <c r="E36" s="78">
        <v>10</v>
      </c>
      <c r="F36" s="79">
        <v>40291</v>
      </c>
      <c r="G36" s="80">
        <v>20.86</v>
      </c>
      <c r="H36" s="173">
        <v>22579661595</v>
      </c>
      <c r="I36" s="174">
        <v>39.409999999999997</v>
      </c>
      <c r="J36" s="173">
        <v>38.869999999999997</v>
      </c>
      <c r="K36" s="39">
        <v>1.76</v>
      </c>
      <c r="L36" s="157">
        <f t="shared" si="0"/>
        <v>2.0859999999999999</v>
      </c>
      <c r="M36" s="156">
        <f t="shared" si="1"/>
        <v>210.68600000000001</v>
      </c>
      <c r="N36" s="156">
        <f t="shared" si="2"/>
        <v>394.09999999999997</v>
      </c>
      <c r="O36" s="172">
        <f t="shared" si="3"/>
        <v>0.87055618313509175</v>
      </c>
      <c r="P36" s="158">
        <f t="shared" si="4"/>
        <v>22.392045454545453</v>
      </c>
      <c r="Q36" s="83" t="str">
        <f t="shared" si="5"/>
        <v>Large</v>
      </c>
      <c r="R36" s="166">
        <f t="shared" si="6"/>
        <v>2.2748929640333724E-3</v>
      </c>
    </row>
    <row r="37" spans="1:18" ht="14">
      <c r="A37" s="167">
        <v>27</v>
      </c>
      <c r="B37" s="77" t="s">
        <v>108</v>
      </c>
      <c r="C37" s="77" t="s">
        <v>156</v>
      </c>
      <c r="D37" s="77" t="s">
        <v>13</v>
      </c>
      <c r="E37" s="78">
        <v>150</v>
      </c>
      <c r="F37" s="79">
        <v>40291</v>
      </c>
      <c r="G37" s="80">
        <v>48.01</v>
      </c>
      <c r="H37" s="173">
        <v>49645861156</v>
      </c>
      <c r="I37" s="174">
        <v>78.17</v>
      </c>
      <c r="J37" s="173">
        <v>76.900000000000006</v>
      </c>
      <c r="K37" s="39">
        <v>3.46</v>
      </c>
      <c r="L37" s="157">
        <f t="shared" si="0"/>
        <v>28</v>
      </c>
      <c r="M37" s="156">
        <f t="shared" si="1"/>
        <v>7229.5</v>
      </c>
      <c r="N37" s="156">
        <f t="shared" si="2"/>
        <v>11725.5</v>
      </c>
      <c r="O37" s="172">
        <f t="shared" si="3"/>
        <v>0.62189639670793273</v>
      </c>
      <c r="P37" s="158">
        <f t="shared" si="4"/>
        <v>22.592485549132949</v>
      </c>
      <c r="Q37" s="83" t="str">
        <f t="shared" si="5"/>
        <v>Large</v>
      </c>
      <c r="R37" s="166">
        <f t="shared" si="6"/>
        <v>6.7683982364306797E-2</v>
      </c>
    </row>
    <row r="38" spans="1:18" ht="14">
      <c r="A38" s="167">
        <v>28</v>
      </c>
      <c r="B38" s="77" t="s">
        <v>109</v>
      </c>
      <c r="C38" s="77" t="s">
        <v>157</v>
      </c>
      <c r="D38" s="77" t="s">
        <v>13</v>
      </c>
      <c r="E38" s="78">
        <v>100</v>
      </c>
      <c r="F38" s="79">
        <v>40291</v>
      </c>
      <c r="G38" s="80">
        <v>56.53</v>
      </c>
      <c r="H38" s="173">
        <v>224654982481</v>
      </c>
      <c r="I38" s="174">
        <v>74.8</v>
      </c>
      <c r="J38" s="173">
        <v>74.069999999999993</v>
      </c>
      <c r="K38" s="39">
        <v>4.38</v>
      </c>
      <c r="L38" s="157">
        <f t="shared" si="0"/>
        <v>28</v>
      </c>
      <c r="M38" s="156">
        <f t="shared" si="1"/>
        <v>5681</v>
      </c>
      <c r="N38" s="156">
        <f t="shared" si="2"/>
        <v>7480</v>
      </c>
      <c r="O38" s="172">
        <f t="shared" si="3"/>
        <v>0.31666960042246084</v>
      </c>
      <c r="P38" s="158">
        <f t="shared" si="4"/>
        <v>17.077625570776256</v>
      </c>
      <c r="Q38" s="83" t="str">
        <f t="shared" si="5"/>
        <v>Large</v>
      </c>
      <c r="R38" s="166">
        <f t="shared" si="6"/>
        <v>4.3177364554604483E-2</v>
      </c>
    </row>
    <row r="39" spans="1:18" ht="28">
      <c r="A39" s="167">
        <v>29</v>
      </c>
      <c r="B39" s="77" t="s">
        <v>110</v>
      </c>
      <c r="C39" s="77" t="s">
        <v>79</v>
      </c>
      <c r="D39" s="77" t="s">
        <v>15</v>
      </c>
      <c r="E39" s="78">
        <v>50</v>
      </c>
      <c r="F39" s="79">
        <v>40291</v>
      </c>
      <c r="G39" s="80">
        <v>59.24</v>
      </c>
      <c r="H39" s="173">
        <v>4953343427</v>
      </c>
      <c r="I39" s="174">
        <v>30.51</v>
      </c>
      <c r="J39" s="173">
        <v>28.42</v>
      </c>
      <c r="K39" s="39">
        <v>-2.81</v>
      </c>
      <c r="L39" s="157">
        <f t="shared" si="0"/>
        <v>28</v>
      </c>
      <c r="M39" s="156">
        <f t="shared" si="1"/>
        <v>2990</v>
      </c>
      <c r="N39" s="156">
        <f t="shared" si="2"/>
        <v>1525.5</v>
      </c>
      <c r="O39" s="172">
        <f t="shared" si="3"/>
        <v>-0.4897993311036789</v>
      </c>
      <c r="P39" s="158">
        <f t="shared" si="4"/>
        <v>0</v>
      </c>
      <c r="Q39" s="83" t="str">
        <f t="shared" si="5"/>
        <v>Small</v>
      </c>
      <c r="R39" s="166">
        <f t="shared" si="6"/>
        <v>8.8057579716643228E-3</v>
      </c>
    </row>
    <row r="40" spans="1:18" ht="28">
      <c r="A40" s="167">
        <v>30</v>
      </c>
      <c r="B40" s="77" t="s">
        <v>50</v>
      </c>
      <c r="C40" s="77" t="s">
        <v>158</v>
      </c>
      <c r="D40" s="77" t="s">
        <v>11</v>
      </c>
      <c r="E40" s="78">
        <v>50</v>
      </c>
      <c r="F40" s="79">
        <v>40291</v>
      </c>
      <c r="G40" s="80">
        <v>13.11</v>
      </c>
      <c r="H40" s="173">
        <v>50166800</v>
      </c>
      <c r="I40" s="174">
        <v>2.74</v>
      </c>
      <c r="J40" s="173">
        <v>2.76</v>
      </c>
      <c r="K40" s="39">
        <v>-89.3</v>
      </c>
      <c r="L40" s="157">
        <f t="shared" si="0"/>
        <v>6.5549999999999997</v>
      </c>
      <c r="M40" s="156">
        <f t="shared" si="1"/>
        <v>662.05499999999995</v>
      </c>
      <c r="N40" s="156">
        <f t="shared" si="2"/>
        <v>137</v>
      </c>
      <c r="O40" s="172">
        <f t="shared" si="3"/>
        <v>-0.7930685517064292</v>
      </c>
      <c r="P40" s="158">
        <f t="shared" si="4"/>
        <v>0</v>
      </c>
      <c r="Q40" s="83" t="str">
        <f t="shared" si="5"/>
        <v>Small</v>
      </c>
      <c r="R40" s="166">
        <f t="shared" si="6"/>
        <v>7.9081536684235483E-4</v>
      </c>
    </row>
    <row r="41" spans="1:18" ht="14">
      <c r="A41" s="167">
        <v>31</v>
      </c>
      <c r="B41" s="77" t="s">
        <v>124</v>
      </c>
      <c r="C41" s="77" t="s">
        <v>125</v>
      </c>
      <c r="D41" s="77" t="s">
        <v>10</v>
      </c>
      <c r="E41" s="78">
        <v>50</v>
      </c>
      <c r="F41" s="79">
        <v>40291</v>
      </c>
      <c r="G41" s="80">
        <v>17.64</v>
      </c>
      <c r="H41" s="173">
        <v>44954899199</v>
      </c>
      <c r="I41" s="174">
        <v>47.67</v>
      </c>
      <c r="J41" s="173">
        <v>47</v>
      </c>
      <c r="K41" s="39">
        <v>-0.23</v>
      </c>
      <c r="L41" s="157">
        <f t="shared" si="0"/>
        <v>8.82</v>
      </c>
      <c r="M41" s="156">
        <f t="shared" si="1"/>
        <v>890.82</v>
      </c>
      <c r="N41" s="156">
        <f t="shared" si="2"/>
        <v>2383.5</v>
      </c>
      <c r="O41" s="172">
        <f t="shared" si="3"/>
        <v>1.6756247053276754</v>
      </c>
      <c r="P41" s="158">
        <f t="shared" si="4"/>
        <v>0</v>
      </c>
      <c r="Q41" s="83" t="str">
        <f t="shared" si="5"/>
        <v>Large</v>
      </c>
      <c r="R41" s="166">
        <f t="shared" si="6"/>
        <v>1.3758455670574838E-2</v>
      </c>
    </row>
    <row r="42" spans="1:18">
      <c r="A42" s="167"/>
      <c r="B42" s="167"/>
      <c r="C42" s="167"/>
      <c r="D42" s="167"/>
      <c r="E42" s="167"/>
      <c r="F42" s="167"/>
      <c r="G42" s="23"/>
      <c r="H42" s="167"/>
      <c r="I42" s="167"/>
      <c r="J42" s="23"/>
      <c r="K42" s="23"/>
      <c r="L42" s="71"/>
      <c r="M42" s="24"/>
      <c r="N42" s="24"/>
      <c r="O42" s="91"/>
      <c r="P42" s="23"/>
      <c r="Q42" s="167"/>
      <c r="R42" s="23"/>
    </row>
    <row r="43" spans="1:18">
      <c r="A43" s="167"/>
      <c r="B43" s="167"/>
      <c r="C43" s="167"/>
      <c r="D43" s="167"/>
      <c r="E43" s="167"/>
      <c r="F43" s="167"/>
      <c r="G43" s="23"/>
      <c r="H43" s="167"/>
      <c r="I43" s="167"/>
      <c r="J43" s="23"/>
      <c r="K43" s="23"/>
      <c r="L43" s="167"/>
      <c r="M43" s="167"/>
      <c r="N43" s="167"/>
      <c r="O43" s="23"/>
      <c r="P43" s="23"/>
      <c r="Q43" s="167"/>
      <c r="R43" s="23"/>
    </row>
    <row r="44" spans="1:18">
      <c r="A44" s="167"/>
      <c r="B44" s="136" t="s">
        <v>190</v>
      </c>
      <c r="C44" s="167"/>
      <c r="D44" s="167"/>
      <c r="E44" s="167"/>
      <c r="F44" s="167"/>
      <c r="G44" s="23"/>
      <c r="H44" s="167"/>
      <c r="I44" s="167"/>
      <c r="J44" s="23"/>
      <c r="K44" s="23"/>
      <c r="L44" s="167"/>
      <c r="M44" s="167"/>
      <c r="N44" s="167"/>
      <c r="O44" s="23"/>
      <c r="P44" s="23"/>
      <c r="Q44" s="167"/>
      <c r="R44" s="23"/>
    </row>
    <row r="45" spans="1:18" ht="16">
      <c r="A45" s="72"/>
      <c r="B45" s="31" t="s">
        <v>27</v>
      </c>
      <c r="C45" s="32"/>
      <c r="D45" s="167"/>
      <c r="E45" s="167"/>
      <c r="F45" s="167"/>
      <c r="G45" s="23"/>
      <c r="H45" s="167"/>
      <c r="I45" s="167"/>
      <c r="J45" s="23"/>
      <c r="K45" s="23"/>
      <c r="L45" s="167"/>
      <c r="M45" s="167"/>
      <c r="N45" s="167"/>
      <c r="O45" s="23"/>
      <c r="P45" s="23"/>
      <c r="Q45" s="167"/>
      <c r="R45" s="23"/>
    </row>
    <row r="46" spans="1:18">
      <c r="A46" s="73" t="s">
        <v>143</v>
      </c>
      <c r="B46" s="138" t="s">
        <v>28</v>
      </c>
      <c r="C46" s="139" t="s">
        <v>28</v>
      </c>
      <c r="D46" s="167"/>
      <c r="E46" s="167"/>
      <c r="F46" s="167"/>
      <c r="G46" s="23"/>
      <c r="H46" s="167"/>
      <c r="I46" s="167"/>
      <c r="J46" s="23"/>
      <c r="K46" s="23"/>
      <c r="L46" s="167"/>
      <c r="M46" s="167"/>
      <c r="N46" s="167"/>
      <c r="O46" s="171">
        <f>((SUM(N11:N41)-SUM(M11:M41))/SUM(M11:M41))</f>
        <v>0.33000000000000013</v>
      </c>
      <c r="P46" s="23"/>
      <c r="Q46" s="167"/>
      <c r="R46" s="23"/>
    </row>
    <row r="47" spans="1:18">
      <c r="A47" s="73" t="s">
        <v>141</v>
      </c>
      <c r="B47" s="33" t="s">
        <v>29</v>
      </c>
      <c r="C47" s="134" t="s">
        <v>29</v>
      </c>
      <c r="D47" s="167"/>
      <c r="E47" s="167"/>
      <c r="F47" s="167"/>
      <c r="G47" s="160">
        <f>AVERAGE(G11:G41)</f>
        <v>42.089032258064513</v>
      </c>
      <c r="H47" s="167"/>
      <c r="I47" s="167"/>
      <c r="J47" s="23"/>
      <c r="K47" s="23"/>
      <c r="L47" s="167"/>
      <c r="M47" s="167"/>
      <c r="N47" s="160">
        <f>AVERAGE(N11:N41)</f>
        <v>5588.3522551612914</v>
      </c>
      <c r="O47" s="163">
        <f>AVERAGE(O11:O41)</f>
        <v>0.38321517063071159</v>
      </c>
      <c r="P47" s="137">
        <f>AVERAGE(P11:P41)</f>
        <v>20.084386404911534</v>
      </c>
      <c r="Q47" s="167"/>
      <c r="R47" s="23"/>
    </row>
    <row r="48" spans="1:18">
      <c r="A48" s="73" t="s">
        <v>142</v>
      </c>
      <c r="B48" s="140" t="s">
        <v>30</v>
      </c>
      <c r="C48" s="141" t="s">
        <v>30</v>
      </c>
      <c r="D48" s="167"/>
      <c r="E48" s="167"/>
      <c r="F48" s="167"/>
      <c r="G48" s="161">
        <f>MAX(G11:G41)</f>
        <v>126.99</v>
      </c>
      <c r="H48" s="167"/>
      <c r="I48" s="167"/>
      <c r="J48" s="161">
        <f>MAX(J11:J41)</f>
        <v>164.4</v>
      </c>
      <c r="K48" s="161">
        <f>MAX(K11:K41)</f>
        <v>12.38</v>
      </c>
      <c r="L48" s="49"/>
      <c r="M48" s="49"/>
      <c r="N48" s="161">
        <f>MAX(N11:N41)</f>
        <v>16272</v>
      </c>
      <c r="O48" s="164">
        <f>MAX(O11:O41)</f>
        <v>1.6756247053276754</v>
      </c>
      <c r="P48" s="142">
        <f>MAX(P11:P41)</f>
        <v>110.02702702702703</v>
      </c>
      <c r="Q48" s="167"/>
      <c r="R48" s="143">
        <f>MAX(R11:R41)</f>
        <v>9.3928085031086114E-2</v>
      </c>
    </row>
    <row r="49" spans="1:18">
      <c r="A49" s="167"/>
      <c r="B49" s="144" t="s">
        <v>31</v>
      </c>
      <c r="C49" s="145" t="s">
        <v>184</v>
      </c>
      <c r="D49" s="167"/>
      <c r="E49" s="167"/>
      <c r="F49" s="167"/>
      <c r="G49" s="162">
        <f>MIN(G11:G41)</f>
        <v>10.48</v>
      </c>
      <c r="H49" s="167"/>
      <c r="I49" s="167"/>
      <c r="J49" s="162">
        <f>MIN(J11:J41)</f>
        <v>2.76</v>
      </c>
      <c r="K49" s="162">
        <f>MIN(K11:K41)</f>
        <v>-89.3</v>
      </c>
      <c r="L49" s="49"/>
      <c r="M49" s="49"/>
      <c r="N49" s="162">
        <f>MIN(N11:N41)</f>
        <v>137</v>
      </c>
      <c r="O49" s="165">
        <f>MIN(O11:O41)</f>
        <v>-0.87907082669095882</v>
      </c>
      <c r="P49" s="147">
        <f>MIN(P11:P41)</f>
        <v>0</v>
      </c>
      <c r="Q49" s="167"/>
      <c r="R49" s="146">
        <f>MIN(R11:R41)</f>
        <v>7.9081536684235483E-4</v>
      </c>
    </row>
    <row r="50" spans="1:18">
      <c r="A50" s="167"/>
      <c r="B50" s="167"/>
      <c r="C50" s="167"/>
      <c r="D50" s="167"/>
      <c r="E50" s="167"/>
      <c r="F50" s="167"/>
      <c r="G50" s="167"/>
      <c r="H50" s="82" t="s">
        <v>43</v>
      </c>
      <c r="I50" s="167"/>
      <c r="J50" s="167"/>
      <c r="K50" s="167"/>
      <c r="L50" s="167"/>
      <c r="M50" s="167"/>
      <c r="N50" s="167"/>
      <c r="O50" s="167"/>
      <c r="P50" s="167"/>
      <c r="Q50" s="167"/>
      <c r="R50" s="167"/>
    </row>
    <row r="51" spans="1:18">
      <c r="A51" s="49"/>
      <c r="B51" s="49"/>
      <c r="C51" s="49"/>
      <c r="D51" s="49"/>
      <c r="E51" s="49"/>
      <c r="F51" s="49"/>
      <c r="G51" s="49"/>
      <c r="H51" s="49"/>
      <c r="I51" s="49"/>
      <c r="J51" s="49"/>
      <c r="K51" s="49"/>
      <c r="L51" s="49"/>
      <c r="M51" s="49"/>
      <c r="N51" s="49"/>
      <c r="O51" s="49"/>
      <c r="P51" s="49"/>
      <c r="Q51" s="49"/>
      <c r="R51" s="49"/>
    </row>
    <row r="52" spans="1:18">
      <c r="A52" s="49"/>
      <c r="B52" s="49"/>
      <c r="C52" s="49"/>
      <c r="D52" s="49"/>
      <c r="E52" s="49"/>
      <c r="F52" s="49"/>
      <c r="G52" s="49"/>
      <c r="H52" s="49"/>
      <c r="I52" s="49"/>
      <c r="J52" s="49"/>
      <c r="K52" s="49"/>
      <c r="L52" s="49"/>
      <c r="M52" s="49"/>
      <c r="N52" s="49"/>
      <c r="O52" s="49"/>
      <c r="P52" s="49"/>
      <c r="Q52" s="49"/>
      <c r="R52" s="49"/>
    </row>
    <row r="53" spans="1:18">
      <c r="A53" s="49"/>
      <c r="B53" s="203" t="s">
        <v>0</v>
      </c>
      <c r="C53" s="203" t="s">
        <v>17</v>
      </c>
      <c r="D53" s="203" t="s">
        <v>235</v>
      </c>
      <c r="E53" s="203" t="s">
        <v>23</v>
      </c>
      <c r="F53" s="203" t="s">
        <v>21</v>
      </c>
      <c r="G53" s="203" t="s">
        <v>24</v>
      </c>
      <c r="H53" s="203"/>
      <c r="I53" s="203"/>
      <c r="J53" s="203"/>
      <c r="K53" s="203"/>
      <c r="L53" s="203"/>
      <c r="M53" s="203"/>
      <c r="N53" s="203"/>
      <c r="O53" s="203"/>
      <c r="P53" s="203"/>
      <c r="Q53" s="203"/>
      <c r="R53" s="203"/>
    </row>
    <row r="54" spans="1:18">
      <c r="A54" s="49"/>
      <c r="B54" s="150" t="s">
        <v>234</v>
      </c>
      <c r="C54" s="150">
        <v>162.30000000000001</v>
      </c>
      <c r="D54" s="242">
        <v>50</v>
      </c>
      <c r="E54" s="245">
        <f>I22*E22</f>
        <v>12161.159910000011</v>
      </c>
      <c r="F54" s="167">
        <f>G22*E22+L22</f>
        <v>6377.5</v>
      </c>
      <c r="G54" s="243">
        <f>((SUM(N11:N41)-SUM(M11:M41))/SUM(M11:M41))</f>
        <v>0.33000000000000013</v>
      </c>
      <c r="H54" s="206"/>
      <c r="I54" s="206"/>
      <c r="J54" s="206"/>
      <c r="K54" s="207"/>
      <c r="L54" s="237"/>
      <c r="M54" s="208"/>
      <c r="N54" s="208"/>
      <c r="O54" s="209"/>
      <c r="P54" s="238"/>
      <c r="Q54" s="203"/>
      <c r="R54" s="239"/>
    </row>
    <row r="57" spans="1:18">
      <c r="B57" s="324" t="s">
        <v>426</v>
      </c>
      <c r="C57" s="324"/>
      <c r="D57" s="324"/>
      <c r="E57" s="324"/>
    </row>
    <row r="58" spans="1:18">
      <c r="B58" s="324"/>
      <c r="C58" s="324"/>
      <c r="D58" s="324"/>
      <c r="E58" s="324"/>
    </row>
  </sheetData>
  <mergeCells count="1">
    <mergeCell ref="B57:E58"/>
  </mergeCells>
  <pageMargins left="0.7" right="0.7" top="0.75" bottom="0.75" header="0.3" footer="0.3"/>
  <pageSetup orientation="portrait" horizontalDpi="0" verticalDpi="0"/>
  <headerFooter>
    <oddHeader>&amp;CStephanie Agbenorhevi</oddHead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dimension ref="A10:R57"/>
  <sheetViews>
    <sheetView view="pageLayout" zoomScaleNormal="100" workbookViewId="0">
      <selection activeCell="E4" sqref="E4"/>
    </sheetView>
  </sheetViews>
  <sheetFormatPr baseColWidth="10" defaultColWidth="8.83203125" defaultRowHeight="13"/>
  <cols>
    <col min="2" max="2" width="9.6640625" customWidth="1"/>
    <col min="3" max="3" width="17.1640625" customWidth="1"/>
    <col min="4" max="4" width="16.83203125" customWidth="1"/>
    <col min="5" max="5" width="17" customWidth="1"/>
    <col min="6" max="6" width="13.83203125" customWidth="1"/>
    <col min="7" max="7" width="14.1640625" customWidth="1"/>
    <col min="8" max="8" width="20" customWidth="1"/>
    <col min="10" max="10" width="14.83203125" customWidth="1"/>
    <col min="11" max="11" width="17.5" customWidth="1"/>
    <col min="12" max="12" width="12.33203125" customWidth="1"/>
    <col min="13" max="13" width="12.6640625" customWidth="1"/>
    <col min="14" max="14" width="13.33203125" customWidth="1"/>
    <col min="17" max="17" width="19.1640625" customWidth="1"/>
    <col min="18" max="18" width="17.1640625" customWidth="1"/>
  </cols>
  <sheetData>
    <row r="10" spans="1:18">
      <c r="A10" s="167"/>
      <c r="B10" s="83" t="s">
        <v>0</v>
      </c>
      <c r="C10" s="83" t="s">
        <v>1</v>
      </c>
      <c r="D10" s="83" t="s">
        <v>2</v>
      </c>
      <c r="E10" s="83" t="s">
        <v>3</v>
      </c>
      <c r="F10" s="83" t="s">
        <v>4</v>
      </c>
      <c r="G10" s="83" t="s">
        <v>5</v>
      </c>
      <c r="H10" s="83" t="s">
        <v>16</v>
      </c>
      <c r="I10" s="83" t="s">
        <v>17</v>
      </c>
      <c r="J10" s="83" t="s">
        <v>18</v>
      </c>
      <c r="K10" s="83" t="s">
        <v>19</v>
      </c>
      <c r="L10" s="83" t="s">
        <v>20</v>
      </c>
      <c r="M10" s="83" t="s">
        <v>21</v>
      </c>
      <c r="N10" s="83" t="s">
        <v>23</v>
      </c>
      <c r="O10" s="83" t="s">
        <v>24</v>
      </c>
      <c r="P10" s="83" t="s">
        <v>25</v>
      </c>
      <c r="Q10" s="83" t="s">
        <v>26</v>
      </c>
      <c r="R10" s="83" t="s">
        <v>22</v>
      </c>
    </row>
    <row r="11" spans="1:18">
      <c r="A11" s="167">
        <v>1</v>
      </c>
      <c r="B11" s="45" t="s">
        <v>171</v>
      </c>
      <c r="C11" s="45" t="s">
        <v>174</v>
      </c>
      <c r="D11" s="45" t="s">
        <v>12</v>
      </c>
      <c r="E11" s="45">
        <v>100</v>
      </c>
      <c r="F11" s="120">
        <v>40291</v>
      </c>
      <c r="G11" s="119">
        <v>28.53</v>
      </c>
      <c r="H11" s="173">
        <v>75323415209</v>
      </c>
      <c r="I11" s="174">
        <v>43.98</v>
      </c>
      <c r="J11" s="173">
        <v>43.59</v>
      </c>
      <c r="K11" s="39">
        <v>0.94</v>
      </c>
      <c r="L11" s="157">
        <f>IF((E11*G11*0.01)&gt;28,28,(E11*G11*0.01))</f>
        <v>28</v>
      </c>
      <c r="M11" s="156">
        <f>G11*E11+L11</f>
        <v>2881</v>
      </c>
      <c r="N11" s="156">
        <f>I11*E11</f>
        <v>4398</v>
      </c>
      <c r="O11" s="172">
        <f>(N11-M11)/M11</f>
        <v>0.5265532801110725</v>
      </c>
      <c r="P11" s="158">
        <f>IF(K11&lt;=0,0,(I11/K11))</f>
        <v>46.787234042553187</v>
      </c>
      <c r="Q11" s="83" t="str">
        <f>IF(H11&gt;10000000000,"Large",IF(AND(H11&gt;=5000000000,H11&lt;=10000000000),"Medium",IF(H11&lt;5000000000,"Small","N/A")))</f>
        <v>Large</v>
      </c>
      <c r="R11" s="166">
        <f>N11/SUM($N$11:$N$41)</f>
        <v>2.5386904988121725E-2</v>
      </c>
    </row>
    <row r="12" spans="1:18" ht="14">
      <c r="A12" s="167">
        <v>2</v>
      </c>
      <c r="B12" s="48" t="s">
        <v>177</v>
      </c>
      <c r="C12" s="77" t="s">
        <v>144</v>
      </c>
      <c r="D12" s="45" t="s">
        <v>12</v>
      </c>
      <c r="E12" s="78">
        <v>100</v>
      </c>
      <c r="F12" s="79">
        <v>40291</v>
      </c>
      <c r="G12" s="80">
        <v>105.48</v>
      </c>
      <c r="H12" s="40">
        <v>123606162095</v>
      </c>
      <c r="I12" s="38">
        <v>162.72</v>
      </c>
      <c r="J12" s="39">
        <v>164.4</v>
      </c>
      <c r="K12" s="39">
        <v>9.06</v>
      </c>
      <c r="L12" s="157">
        <f t="shared" ref="L12:L41" si="0">IF((E12*G12*0.01)&gt;28,28,(E12*G12*0.01))</f>
        <v>28</v>
      </c>
      <c r="M12" s="156">
        <f t="shared" ref="M12:M41" si="1">G12*E12+L12</f>
        <v>10576</v>
      </c>
      <c r="N12" s="156">
        <f t="shared" ref="N12:N41" si="2">I12*E12</f>
        <v>16272</v>
      </c>
      <c r="O12" s="172">
        <f t="shared" ref="O12:O41" si="3">(N12-M12)/M12</f>
        <v>0.53857791225416041</v>
      </c>
      <c r="P12" s="158">
        <f t="shared" ref="P12:P41" si="4">IF(K12&lt;=0,0,(I12/K12))</f>
        <v>17.960264900662249</v>
      </c>
      <c r="Q12" s="83" t="str">
        <f t="shared" ref="Q12:Q41" si="5">IF(H12&gt;10000000000,"Large",IF(AND(H12&gt;=5000000000,H12&lt;=10000000000),"Medium",IF(H12&lt;5000000000,"Small","N/A")))</f>
        <v>Large</v>
      </c>
      <c r="R12" s="166">
        <f t="shared" ref="R12:R41" si="6">N12/SUM($N$11:$N$41)</f>
        <v>9.3928085031086114E-2</v>
      </c>
    </row>
    <row r="13" spans="1:18" ht="14">
      <c r="A13" s="167">
        <v>3</v>
      </c>
      <c r="B13" s="48" t="s">
        <v>168</v>
      </c>
      <c r="C13" s="77" t="s">
        <v>66</v>
      </c>
      <c r="D13" s="77" t="s">
        <v>6</v>
      </c>
      <c r="E13" s="78">
        <v>100</v>
      </c>
      <c r="F13" s="79">
        <v>40291</v>
      </c>
      <c r="G13" s="80">
        <v>67.88</v>
      </c>
      <c r="H13" s="173">
        <v>15857072051</v>
      </c>
      <c r="I13" s="174">
        <v>99.59</v>
      </c>
      <c r="J13" s="173">
        <v>98.04</v>
      </c>
      <c r="K13" s="39">
        <v>5.59</v>
      </c>
      <c r="L13" s="157">
        <f t="shared" si="0"/>
        <v>28</v>
      </c>
      <c r="M13" s="156">
        <f t="shared" si="1"/>
        <v>6816</v>
      </c>
      <c r="N13" s="156">
        <f t="shared" si="2"/>
        <v>9959</v>
      </c>
      <c r="O13" s="172">
        <f t="shared" si="3"/>
        <v>0.46112089201877932</v>
      </c>
      <c r="P13" s="158">
        <f t="shared" si="4"/>
        <v>17.815742397137747</v>
      </c>
      <c r="Q13" s="83" t="str">
        <f t="shared" si="5"/>
        <v>Large</v>
      </c>
      <c r="R13" s="166">
        <f t="shared" si="6"/>
        <v>5.7487082031992785E-2</v>
      </c>
    </row>
    <row r="14" spans="1:18" ht="14">
      <c r="A14" s="167">
        <v>4</v>
      </c>
      <c r="B14" s="48" t="s">
        <v>91</v>
      </c>
      <c r="C14" s="77" t="s">
        <v>145</v>
      </c>
      <c r="D14" s="77" t="s">
        <v>7</v>
      </c>
      <c r="E14" s="78">
        <v>100</v>
      </c>
      <c r="F14" s="79">
        <v>40291</v>
      </c>
      <c r="G14" s="80">
        <v>34.46</v>
      </c>
      <c r="H14" s="173">
        <v>17434838571</v>
      </c>
      <c r="I14" s="174">
        <v>57.5</v>
      </c>
      <c r="J14" s="173">
        <v>57.28</v>
      </c>
      <c r="K14" s="39">
        <v>1.61</v>
      </c>
      <c r="L14" s="157">
        <f t="shared" si="0"/>
        <v>28</v>
      </c>
      <c r="M14" s="156">
        <f t="shared" si="1"/>
        <v>3474</v>
      </c>
      <c r="N14" s="156">
        <f t="shared" si="2"/>
        <v>5750</v>
      </c>
      <c r="O14" s="172">
        <f t="shared" si="3"/>
        <v>0.65515256188831317</v>
      </c>
      <c r="P14" s="158">
        <f t="shared" si="4"/>
        <v>35.714285714285715</v>
      </c>
      <c r="Q14" s="83" t="str">
        <f t="shared" si="5"/>
        <v>Large</v>
      </c>
      <c r="R14" s="166">
        <f t="shared" si="6"/>
        <v>3.3191155907617086E-2</v>
      </c>
    </row>
    <row r="15" spans="1:18" ht="14">
      <c r="A15" s="167">
        <v>5</v>
      </c>
      <c r="B15" s="48" t="s">
        <v>44</v>
      </c>
      <c r="C15" s="77" t="s">
        <v>80</v>
      </c>
      <c r="D15" s="77" t="s">
        <v>7</v>
      </c>
      <c r="E15" s="78">
        <v>200</v>
      </c>
      <c r="F15" s="79">
        <v>40291</v>
      </c>
      <c r="G15" s="80">
        <v>23.15</v>
      </c>
      <c r="H15" s="173">
        <v>17224304201</v>
      </c>
      <c r="I15" s="174">
        <v>40.72</v>
      </c>
      <c r="J15" s="173">
        <v>40.479999999999997</v>
      </c>
      <c r="K15" s="39">
        <v>1.38</v>
      </c>
      <c r="L15" s="157">
        <f t="shared" si="0"/>
        <v>28</v>
      </c>
      <c r="M15" s="156">
        <f t="shared" si="1"/>
        <v>4658</v>
      </c>
      <c r="N15" s="156">
        <f t="shared" si="2"/>
        <v>8144</v>
      </c>
      <c r="O15" s="172">
        <f t="shared" si="3"/>
        <v>0.74838986689566334</v>
      </c>
      <c r="P15" s="158">
        <f t="shared" si="4"/>
        <v>29.507246376811597</v>
      </c>
      <c r="Q15" s="83" t="str">
        <f t="shared" si="5"/>
        <v>Large</v>
      </c>
      <c r="R15" s="166">
        <f t="shared" si="6"/>
        <v>4.7010221515066702E-2</v>
      </c>
    </row>
    <row r="16" spans="1:18" ht="14">
      <c r="A16" s="167">
        <v>6</v>
      </c>
      <c r="B16" s="48" t="s">
        <v>92</v>
      </c>
      <c r="C16" s="77" t="s">
        <v>69</v>
      </c>
      <c r="D16" s="77" t="s">
        <v>8</v>
      </c>
      <c r="E16" s="78">
        <v>100</v>
      </c>
      <c r="F16" s="79">
        <v>40291</v>
      </c>
      <c r="G16" s="80">
        <v>69.41</v>
      </c>
      <c r="H16" s="173">
        <v>20590550000</v>
      </c>
      <c r="I16" s="174">
        <v>39.700000000000003</v>
      </c>
      <c r="J16" s="173">
        <v>39.25</v>
      </c>
      <c r="K16" s="39">
        <v>-6.52</v>
      </c>
      <c r="L16" s="157">
        <f t="shared" si="0"/>
        <v>28</v>
      </c>
      <c r="M16" s="156">
        <f t="shared" si="1"/>
        <v>6969</v>
      </c>
      <c r="N16" s="156">
        <f t="shared" si="2"/>
        <v>3970.0000000000005</v>
      </c>
      <c r="O16" s="172">
        <f t="shared" si="3"/>
        <v>-0.43033433778160418</v>
      </c>
      <c r="P16" s="158">
        <f t="shared" si="4"/>
        <v>0</v>
      </c>
      <c r="Q16" s="83" t="str">
        <f t="shared" si="5"/>
        <v>Large</v>
      </c>
      <c r="R16" s="166">
        <f t="shared" si="6"/>
        <v>2.2916328513606928E-2</v>
      </c>
    </row>
    <row r="17" spans="1:18" ht="14">
      <c r="A17" s="167">
        <v>7</v>
      </c>
      <c r="B17" s="48" t="s">
        <v>93</v>
      </c>
      <c r="C17" s="77" t="s">
        <v>70</v>
      </c>
      <c r="D17" s="77" t="s">
        <v>7</v>
      </c>
      <c r="E17" s="78">
        <v>100</v>
      </c>
      <c r="F17" s="79">
        <v>40291</v>
      </c>
      <c r="G17" s="80">
        <v>70.63</v>
      </c>
      <c r="H17" s="173">
        <v>33323671651</v>
      </c>
      <c r="I17" s="174">
        <v>57.88</v>
      </c>
      <c r="J17" s="173">
        <v>57.84</v>
      </c>
      <c r="K17" s="39">
        <v>2.7</v>
      </c>
      <c r="L17" s="157">
        <f t="shared" si="0"/>
        <v>28</v>
      </c>
      <c r="M17" s="156">
        <f t="shared" si="1"/>
        <v>7091</v>
      </c>
      <c r="N17" s="156">
        <f t="shared" si="2"/>
        <v>5788</v>
      </c>
      <c r="O17" s="172">
        <f t="shared" si="3"/>
        <v>-0.18375405443519954</v>
      </c>
      <c r="P17" s="158">
        <f t="shared" si="4"/>
        <v>21.437037037037037</v>
      </c>
      <c r="Q17" s="83" t="str">
        <f t="shared" si="5"/>
        <v>Large</v>
      </c>
      <c r="R17" s="166">
        <f t="shared" si="6"/>
        <v>3.3410506155354375E-2</v>
      </c>
    </row>
    <row r="18" spans="1:18" ht="14">
      <c r="A18" s="167">
        <v>8</v>
      </c>
      <c r="B18" s="48" t="s">
        <v>173</v>
      </c>
      <c r="C18" s="77" t="s">
        <v>175</v>
      </c>
      <c r="D18" s="77" t="s">
        <v>12</v>
      </c>
      <c r="E18" s="78">
        <v>150</v>
      </c>
      <c r="F18" s="79">
        <v>40291</v>
      </c>
      <c r="G18" s="80">
        <v>20.14</v>
      </c>
      <c r="H18" s="173">
        <v>109621013986</v>
      </c>
      <c r="I18" s="174">
        <v>40.71</v>
      </c>
      <c r="J18" s="173">
        <v>40.840000000000003</v>
      </c>
      <c r="K18" s="39">
        <v>0.37</v>
      </c>
      <c r="L18" s="157">
        <f t="shared" si="0"/>
        <v>28</v>
      </c>
      <c r="M18" s="156">
        <f t="shared" si="1"/>
        <v>3049</v>
      </c>
      <c r="N18" s="156">
        <f t="shared" si="2"/>
        <v>6106.5</v>
      </c>
      <c r="O18" s="172">
        <f t="shared" si="3"/>
        <v>1.002787799278452</v>
      </c>
      <c r="P18" s="158">
        <f t="shared" si="4"/>
        <v>110.02702702702703</v>
      </c>
      <c r="Q18" s="83" t="str">
        <f t="shared" si="5"/>
        <v>Large</v>
      </c>
      <c r="R18" s="166">
        <f t="shared" si="6"/>
        <v>3.5249007573889345E-2</v>
      </c>
    </row>
    <row r="19" spans="1:18" ht="14">
      <c r="A19" s="167">
        <v>9</v>
      </c>
      <c r="B19" s="43" t="s">
        <v>94</v>
      </c>
      <c r="C19" s="44" t="s">
        <v>146</v>
      </c>
      <c r="D19" s="77" t="s">
        <v>9</v>
      </c>
      <c r="E19" s="78">
        <v>30</v>
      </c>
      <c r="F19" s="79">
        <v>40291</v>
      </c>
      <c r="G19" s="80">
        <v>40.53</v>
      </c>
      <c r="H19" s="173">
        <v>11939394310</v>
      </c>
      <c r="I19" s="174">
        <v>96.01</v>
      </c>
      <c r="J19" s="173">
        <v>95.51</v>
      </c>
      <c r="K19" s="39">
        <v>4.34</v>
      </c>
      <c r="L19" s="157">
        <f t="shared" si="0"/>
        <v>12.159000000000001</v>
      </c>
      <c r="M19" s="156">
        <f t="shared" si="1"/>
        <v>1228.0590000000002</v>
      </c>
      <c r="N19" s="156">
        <f t="shared" si="2"/>
        <v>2880.3</v>
      </c>
      <c r="O19" s="172">
        <f t="shared" si="3"/>
        <v>1.3454084860743658</v>
      </c>
      <c r="P19" s="158">
        <f t="shared" si="4"/>
        <v>22.122119815668206</v>
      </c>
      <c r="Q19" s="83" t="str">
        <f t="shared" si="5"/>
        <v>Large</v>
      </c>
      <c r="R19" s="166">
        <f t="shared" si="6"/>
        <v>1.6626171540992954E-2</v>
      </c>
    </row>
    <row r="20" spans="1:18" ht="14">
      <c r="A20" s="167">
        <v>10</v>
      </c>
      <c r="B20" s="48" t="s">
        <v>52</v>
      </c>
      <c r="C20" s="77" t="s">
        <v>147</v>
      </c>
      <c r="D20" s="45" t="s">
        <v>10</v>
      </c>
      <c r="E20" s="23">
        <v>100</v>
      </c>
      <c r="F20" s="46">
        <v>40291</v>
      </c>
      <c r="G20" s="47">
        <v>18.53</v>
      </c>
      <c r="H20" s="173">
        <v>31076572682</v>
      </c>
      <c r="I20" s="174">
        <v>18.52</v>
      </c>
      <c r="J20" s="173">
        <v>18.38</v>
      </c>
      <c r="K20" s="39">
        <v>1.46</v>
      </c>
      <c r="L20" s="157">
        <f t="shared" si="0"/>
        <v>18.53</v>
      </c>
      <c r="M20" s="156">
        <f t="shared" si="1"/>
        <v>1871.53</v>
      </c>
      <c r="N20" s="156">
        <f t="shared" si="2"/>
        <v>1852</v>
      </c>
      <c r="O20" s="172">
        <f t="shared" si="3"/>
        <v>-1.0435312284601355E-2</v>
      </c>
      <c r="P20" s="158">
        <f t="shared" si="4"/>
        <v>12.684931506849315</v>
      </c>
      <c r="Q20" s="83" t="str">
        <f t="shared" si="5"/>
        <v>Large</v>
      </c>
      <c r="R20" s="166">
        <f t="shared" si="6"/>
        <v>1.0690438389722928E-2</v>
      </c>
    </row>
    <row r="21" spans="1:18" ht="14">
      <c r="A21" s="167">
        <v>11</v>
      </c>
      <c r="B21" s="48" t="s">
        <v>95</v>
      </c>
      <c r="C21" s="77" t="s">
        <v>148</v>
      </c>
      <c r="D21" s="77" t="s">
        <v>7</v>
      </c>
      <c r="E21" s="78">
        <v>100</v>
      </c>
      <c r="F21" s="79">
        <v>40291</v>
      </c>
      <c r="G21" s="80">
        <v>48.72</v>
      </c>
      <c r="H21" s="173">
        <v>23104464730</v>
      </c>
      <c r="I21" s="174">
        <v>108.8</v>
      </c>
      <c r="J21" s="173">
        <v>108.63</v>
      </c>
      <c r="K21" s="39">
        <v>3.34</v>
      </c>
      <c r="L21" s="157">
        <f t="shared" si="0"/>
        <v>28</v>
      </c>
      <c r="M21" s="156">
        <f t="shared" si="1"/>
        <v>4900</v>
      </c>
      <c r="N21" s="156">
        <f t="shared" si="2"/>
        <v>10880</v>
      </c>
      <c r="O21" s="172">
        <f t="shared" si="3"/>
        <v>1.2204081632653061</v>
      </c>
      <c r="P21" s="158">
        <f t="shared" si="4"/>
        <v>32.574850299401199</v>
      </c>
      <c r="Q21" s="83" t="str">
        <f t="shared" si="5"/>
        <v>Large</v>
      </c>
      <c r="R21" s="166">
        <f t="shared" si="6"/>
        <v>6.2803439352151977E-2</v>
      </c>
    </row>
    <row r="22" spans="1:18" ht="42">
      <c r="A22" s="167">
        <v>12</v>
      </c>
      <c r="B22" s="48" t="s">
        <v>96</v>
      </c>
      <c r="C22" s="77" t="s">
        <v>71</v>
      </c>
      <c r="D22" s="77" t="s">
        <v>10</v>
      </c>
      <c r="E22" s="78">
        <v>50</v>
      </c>
      <c r="F22" s="79">
        <v>40291</v>
      </c>
      <c r="G22" s="80">
        <v>126.99</v>
      </c>
      <c r="H22" s="173">
        <v>152508037371</v>
      </c>
      <c r="I22" s="174">
        <v>162.30000000000001</v>
      </c>
      <c r="J22" s="173">
        <v>161.69</v>
      </c>
      <c r="K22" s="39">
        <v>12.38</v>
      </c>
      <c r="L22" s="157">
        <f t="shared" si="0"/>
        <v>28</v>
      </c>
      <c r="M22" s="156">
        <f t="shared" si="1"/>
        <v>6377.5</v>
      </c>
      <c r="N22" s="156">
        <f>I22*E22</f>
        <v>8115.0000000000009</v>
      </c>
      <c r="O22" s="172">
        <f t="shared" si="3"/>
        <v>0.27244217953743644</v>
      </c>
      <c r="P22" s="158">
        <f t="shared" si="4"/>
        <v>13.109854604200324</v>
      </c>
      <c r="Q22" s="83" t="str">
        <f t="shared" si="5"/>
        <v>Large</v>
      </c>
      <c r="R22" s="166">
        <f t="shared" si="6"/>
        <v>4.6842822641793506E-2</v>
      </c>
    </row>
    <row r="23" spans="1:18" ht="14">
      <c r="A23" s="167">
        <v>13</v>
      </c>
      <c r="B23" s="48" t="s">
        <v>97</v>
      </c>
      <c r="C23" s="77" t="s">
        <v>149</v>
      </c>
      <c r="D23" s="77" t="s">
        <v>11</v>
      </c>
      <c r="E23" s="78">
        <v>100</v>
      </c>
      <c r="F23" s="79">
        <v>40291</v>
      </c>
      <c r="G23" s="80">
        <v>56.48</v>
      </c>
      <c r="H23" s="173">
        <v>3457914174</v>
      </c>
      <c r="I23" s="174">
        <v>39.96</v>
      </c>
      <c r="J23" s="173">
        <v>39</v>
      </c>
      <c r="K23" s="39">
        <v>2.0699999999999998</v>
      </c>
      <c r="L23" s="157">
        <f t="shared" si="0"/>
        <v>28</v>
      </c>
      <c r="M23" s="156">
        <f t="shared" si="1"/>
        <v>5676</v>
      </c>
      <c r="N23" s="156">
        <f t="shared" si="2"/>
        <v>3996</v>
      </c>
      <c r="O23" s="172">
        <f t="shared" si="3"/>
        <v>-0.29598308668076112</v>
      </c>
      <c r="P23" s="158">
        <f t="shared" si="4"/>
        <v>19.304347826086957</v>
      </c>
      <c r="Q23" s="83" t="str">
        <f t="shared" si="5"/>
        <v>Small</v>
      </c>
      <c r="R23" s="166">
        <f t="shared" si="6"/>
        <v>2.3066410262058759E-2</v>
      </c>
    </row>
    <row r="24" spans="1:18" ht="28">
      <c r="A24" s="167">
        <v>14</v>
      </c>
      <c r="B24" s="48" t="s">
        <v>98</v>
      </c>
      <c r="C24" s="77" t="s">
        <v>72</v>
      </c>
      <c r="D24" s="77" t="s">
        <v>11</v>
      </c>
      <c r="E24" s="78">
        <v>100</v>
      </c>
      <c r="F24" s="79">
        <v>40291</v>
      </c>
      <c r="G24" s="80">
        <v>34.229999999999997</v>
      </c>
      <c r="H24" s="173">
        <v>38749953547</v>
      </c>
      <c r="I24" s="174">
        <v>41.73</v>
      </c>
      <c r="J24" s="173">
        <v>41.28</v>
      </c>
      <c r="K24" s="39">
        <v>-1.64</v>
      </c>
      <c r="L24" s="157">
        <f t="shared" si="0"/>
        <v>28</v>
      </c>
      <c r="M24" s="156">
        <f t="shared" si="1"/>
        <v>3450.9999999999995</v>
      </c>
      <c r="N24" s="156">
        <f t="shared" si="2"/>
        <v>4173</v>
      </c>
      <c r="O24" s="172">
        <f t="shared" si="3"/>
        <v>0.20921472037090713</v>
      </c>
      <c r="P24" s="158">
        <f t="shared" si="4"/>
        <v>0</v>
      </c>
      <c r="Q24" s="83" t="str">
        <f t="shared" si="5"/>
        <v>Large</v>
      </c>
      <c r="R24" s="166">
        <f t="shared" si="6"/>
        <v>2.408812062651932E-2</v>
      </c>
    </row>
    <row r="25" spans="1:18" ht="14">
      <c r="A25" s="167">
        <v>15</v>
      </c>
      <c r="B25" s="48" t="s">
        <v>99</v>
      </c>
      <c r="C25" s="77" t="s">
        <v>73</v>
      </c>
      <c r="D25" s="77" t="s">
        <v>12</v>
      </c>
      <c r="E25" s="78">
        <v>88</v>
      </c>
      <c r="F25" s="79">
        <v>40291</v>
      </c>
      <c r="G25" s="80">
        <v>65.040000000000006</v>
      </c>
      <c r="H25" s="173">
        <v>329020961069</v>
      </c>
      <c r="I25" s="174">
        <v>121.87</v>
      </c>
      <c r="J25" s="173">
        <v>121.37</v>
      </c>
      <c r="K25" s="39">
        <v>5.93</v>
      </c>
      <c r="L25" s="157">
        <f t="shared" si="0"/>
        <v>28</v>
      </c>
      <c r="M25" s="156">
        <f t="shared" si="1"/>
        <v>5751.52</v>
      </c>
      <c r="N25" s="156">
        <f t="shared" si="2"/>
        <v>10724.560000000001</v>
      </c>
      <c r="O25" s="172">
        <f t="shared" si="3"/>
        <v>0.86464795393217797</v>
      </c>
      <c r="P25" s="158">
        <f t="shared" si="4"/>
        <v>20.551433389544691</v>
      </c>
      <c r="Q25" s="83" t="str">
        <f t="shared" si="5"/>
        <v>Large</v>
      </c>
      <c r="R25" s="166">
        <f t="shared" si="6"/>
        <v>6.1906181391407633E-2</v>
      </c>
    </row>
    <row r="26" spans="1:18" ht="14">
      <c r="A26" s="167">
        <v>16</v>
      </c>
      <c r="B26" s="48" t="s">
        <v>100</v>
      </c>
      <c r="C26" s="77" t="s">
        <v>150</v>
      </c>
      <c r="D26" s="77" t="s">
        <v>13</v>
      </c>
      <c r="E26" s="78">
        <v>200</v>
      </c>
      <c r="F26" s="79">
        <v>40291</v>
      </c>
      <c r="G26" s="80">
        <v>49.48</v>
      </c>
      <c r="H26" s="173">
        <v>6752919598</v>
      </c>
      <c r="I26" s="174">
        <v>40.76</v>
      </c>
      <c r="J26" s="173">
        <v>39.18</v>
      </c>
      <c r="K26" s="39">
        <v>3.11</v>
      </c>
      <c r="L26" s="157">
        <f t="shared" si="0"/>
        <v>28</v>
      </c>
      <c r="M26" s="156">
        <f t="shared" si="1"/>
        <v>9924</v>
      </c>
      <c r="N26" s="156">
        <f t="shared" si="2"/>
        <v>8152</v>
      </c>
      <c r="O26" s="172">
        <f t="shared" si="3"/>
        <v>-0.17855703345425231</v>
      </c>
      <c r="P26" s="158">
        <f t="shared" si="4"/>
        <v>13.106109324758842</v>
      </c>
      <c r="Q26" s="83" t="str">
        <f t="shared" si="5"/>
        <v>Medium</v>
      </c>
      <c r="R26" s="166">
        <f t="shared" si="6"/>
        <v>4.7056400514590341E-2</v>
      </c>
    </row>
    <row r="27" spans="1:18" ht="14">
      <c r="A27" s="167">
        <v>17</v>
      </c>
      <c r="B27" s="48" t="s">
        <v>122</v>
      </c>
      <c r="C27" s="77" t="s">
        <v>151</v>
      </c>
      <c r="D27" s="77" t="s">
        <v>12</v>
      </c>
      <c r="E27" s="78">
        <v>50</v>
      </c>
      <c r="F27" s="79">
        <v>40291</v>
      </c>
      <c r="G27" s="80">
        <v>35.46</v>
      </c>
      <c r="H27" s="173">
        <v>89250333937</v>
      </c>
      <c r="I27" s="174">
        <v>81.94</v>
      </c>
      <c r="J27" s="173">
        <v>80.89</v>
      </c>
      <c r="K27" s="39">
        <v>2.58</v>
      </c>
      <c r="L27" s="157">
        <f t="shared" si="0"/>
        <v>17.73</v>
      </c>
      <c r="M27" s="156">
        <f t="shared" si="1"/>
        <v>1790.73</v>
      </c>
      <c r="N27" s="156">
        <f t="shared" si="2"/>
        <v>4097</v>
      </c>
      <c r="O27" s="172">
        <f t="shared" si="3"/>
        <v>1.2878937639956889</v>
      </c>
      <c r="P27" s="158">
        <f t="shared" si="4"/>
        <v>31.759689922480618</v>
      </c>
      <c r="Q27" s="83" t="str">
        <f t="shared" si="5"/>
        <v>Large</v>
      </c>
      <c r="R27" s="166">
        <f t="shared" si="6"/>
        <v>2.3649420131044728E-2</v>
      </c>
    </row>
    <row r="28" spans="1:18" ht="14">
      <c r="A28" s="167">
        <v>18</v>
      </c>
      <c r="B28" s="48" t="s">
        <v>165</v>
      </c>
      <c r="C28" s="77" t="s">
        <v>152</v>
      </c>
      <c r="D28" s="77" t="s">
        <v>13</v>
      </c>
      <c r="E28" s="78">
        <v>150</v>
      </c>
      <c r="F28" s="79">
        <v>40291</v>
      </c>
      <c r="G28" s="80">
        <v>29.48</v>
      </c>
      <c r="H28" s="173">
        <v>8877882353</v>
      </c>
      <c r="I28" s="174">
        <v>30.01</v>
      </c>
      <c r="J28" s="173">
        <v>29.09</v>
      </c>
      <c r="K28" s="39">
        <v>1.99</v>
      </c>
      <c r="L28" s="157">
        <f t="shared" si="0"/>
        <v>28</v>
      </c>
      <c r="M28" s="156">
        <f t="shared" si="1"/>
        <v>4450</v>
      </c>
      <c r="N28" s="156">
        <f t="shared" si="2"/>
        <v>4501.5</v>
      </c>
      <c r="O28" s="172">
        <f t="shared" si="3"/>
        <v>1.1573033707865169E-2</v>
      </c>
      <c r="P28" s="158">
        <f t="shared" si="4"/>
        <v>15.080402010050252</v>
      </c>
      <c r="Q28" s="83" t="str">
        <f t="shared" si="5"/>
        <v>Medium</v>
      </c>
      <c r="R28" s="166">
        <f t="shared" si="6"/>
        <v>2.5984345794458834E-2</v>
      </c>
    </row>
    <row r="29" spans="1:18" ht="14">
      <c r="A29" s="167">
        <v>19</v>
      </c>
      <c r="B29" s="48" t="s">
        <v>101</v>
      </c>
      <c r="C29" s="77" t="s">
        <v>153</v>
      </c>
      <c r="D29" s="77" t="s">
        <v>9</v>
      </c>
      <c r="E29" s="78">
        <v>50</v>
      </c>
      <c r="F29" s="79">
        <v>40291</v>
      </c>
      <c r="G29" s="80">
        <v>23.54</v>
      </c>
      <c r="H29" s="173">
        <v>8600521944</v>
      </c>
      <c r="I29" s="174">
        <v>25.21</v>
      </c>
      <c r="J29" s="173">
        <v>25.11</v>
      </c>
      <c r="K29" s="39">
        <v>0.92</v>
      </c>
      <c r="L29" s="157">
        <f t="shared" si="0"/>
        <v>11.77</v>
      </c>
      <c r="M29" s="156">
        <f t="shared" si="1"/>
        <v>1188.77</v>
      </c>
      <c r="N29" s="156">
        <f t="shared" si="2"/>
        <v>1260.5</v>
      </c>
      <c r="O29" s="172">
        <f t="shared" si="3"/>
        <v>6.0339678827695871E-2</v>
      </c>
      <c r="P29" s="158">
        <f t="shared" si="4"/>
        <v>27.402173913043477</v>
      </c>
      <c r="Q29" s="83" t="str">
        <f t="shared" si="5"/>
        <v>Medium</v>
      </c>
      <c r="R29" s="166">
        <f t="shared" si="6"/>
        <v>7.2760786124437104E-3</v>
      </c>
    </row>
    <row r="30" spans="1:18" ht="14">
      <c r="A30" s="167">
        <v>20</v>
      </c>
      <c r="B30" s="48" t="s">
        <v>102</v>
      </c>
      <c r="C30" s="77" t="s">
        <v>74</v>
      </c>
      <c r="D30" s="77" t="s">
        <v>14</v>
      </c>
      <c r="E30" s="78">
        <v>240</v>
      </c>
      <c r="F30" s="79">
        <v>40291</v>
      </c>
      <c r="G30" s="80">
        <v>10.48</v>
      </c>
      <c r="H30" s="173">
        <v>1172951869</v>
      </c>
      <c r="I30" s="174">
        <v>8.7200000000000006</v>
      </c>
      <c r="J30" s="173">
        <v>8.6999999999999993</v>
      </c>
      <c r="K30" s="39">
        <v>-2.54</v>
      </c>
      <c r="L30" s="157">
        <f t="shared" si="0"/>
        <v>25.152000000000005</v>
      </c>
      <c r="M30" s="156">
        <f t="shared" si="1"/>
        <v>2540.3520000000003</v>
      </c>
      <c r="N30" s="156">
        <f t="shared" si="2"/>
        <v>2092.8000000000002</v>
      </c>
      <c r="O30" s="172">
        <f t="shared" si="3"/>
        <v>-0.17617715970070291</v>
      </c>
      <c r="P30" s="158">
        <f t="shared" si="4"/>
        <v>0</v>
      </c>
      <c r="Q30" s="83" t="str">
        <f t="shared" si="5"/>
        <v>Small</v>
      </c>
      <c r="R30" s="166">
        <f t="shared" si="6"/>
        <v>1.2080426275384528E-2</v>
      </c>
    </row>
    <row r="31" spans="1:18" ht="28">
      <c r="A31" s="167">
        <v>21</v>
      </c>
      <c r="B31" s="48" t="s">
        <v>103</v>
      </c>
      <c r="C31" s="77" t="s">
        <v>75</v>
      </c>
      <c r="D31" s="77" t="s">
        <v>14</v>
      </c>
      <c r="E31" s="78">
        <v>250</v>
      </c>
      <c r="F31" s="79">
        <v>40291</v>
      </c>
      <c r="G31" s="80">
        <v>19.21</v>
      </c>
      <c r="H31" s="173">
        <v>34041939137</v>
      </c>
      <c r="I31" s="174">
        <v>17.25</v>
      </c>
      <c r="J31" s="173">
        <v>16.96</v>
      </c>
      <c r="K31" s="39">
        <v>1.41</v>
      </c>
      <c r="L31" s="157">
        <f t="shared" si="0"/>
        <v>28</v>
      </c>
      <c r="M31" s="156">
        <f t="shared" si="1"/>
        <v>4830.5</v>
      </c>
      <c r="N31" s="156">
        <f t="shared" si="2"/>
        <v>4312.5</v>
      </c>
      <c r="O31" s="172">
        <f t="shared" si="3"/>
        <v>-0.10723527585136114</v>
      </c>
      <c r="P31" s="158">
        <f t="shared" si="4"/>
        <v>12.23404255319149</v>
      </c>
      <c r="Q31" s="83" t="str">
        <f t="shared" si="5"/>
        <v>Large</v>
      </c>
      <c r="R31" s="166">
        <f t="shared" si="6"/>
        <v>2.4893366930712812E-2</v>
      </c>
    </row>
    <row r="32" spans="1:18" ht="14">
      <c r="A32" s="167">
        <v>22</v>
      </c>
      <c r="B32" s="48" t="s">
        <v>167</v>
      </c>
      <c r="C32" s="77" t="s">
        <v>154</v>
      </c>
      <c r="D32" s="77" t="s">
        <v>10</v>
      </c>
      <c r="E32" s="78">
        <v>150</v>
      </c>
      <c r="F32" s="79">
        <v>40291</v>
      </c>
      <c r="G32" s="80">
        <v>30.96</v>
      </c>
      <c r="H32" s="173">
        <v>502598539492</v>
      </c>
      <c r="I32" s="174">
        <v>65.5</v>
      </c>
      <c r="J32" s="173">
        <v>65.040000000000006</v>
      </c>
      <c r="K32" s="39">
        <v>2.13</v>
      </c>
      <c r="L32" s="157">
        <f t="shared" si="0"/>
        <v>28</v>
      </c>
      <c r="M32" s="156">
        <f t="shared" si="1"/>
        <v>4672</v>
      </c>
      <c r="N32" s="156">
        <f t="shared" si="2"/>
        <v>9825</v>
      </c>
      <c r="O32" s="172">
        <f t="shared" si="3"/>
        <v>1.1029537671232876</v>
      </c>
      <c r="P32" s="158">
        <f t="shared" si="4"/>
        <v>30.751173708920188</v>
      </c>
      <c r="Q32" s="83" t="str">
        <f t="shared" si="5"/>
        <v>Large</v>
      </c>
      <c r="R32" s="166">
        <f t="shared" si="6"/>
        <v>5.6713583789971794E-2</v>
      </c>
    </row>
    <row r="33" spans="1:18" ht="28">
      <c r="A33" s="167">
        <v>23</v>
      </c>
      <c r="B33" s="77" t="s">
        <v>104</v>
      </c>
      <c r="C33" s="77" t="s">
        <v>76</v>
      </c>
      <c r="D33" s="77" t="s">
        <v>8</v>
      </c>
      <c r="E33" s="78">
        <v>50</v>
      </c>
      <c r="F33" s="79">
        <v>40291</v>
      </c>
      <c r="G33" s="80">
        <v>22.61</v>
      </c>
      <c r="H33" s="173">
        <v>3412743063</v>
      </c>
      <c r="I33" s="174">
        <v>11.77</v>
      </c>
      <c r="J33" s="173">
        <v>11.96</v>
      </c>
      <c r="K33" s="39">
        <v>-3.64</v>
      </c>
      <c r="L33" s="157">
        <f t="shared" si="0"/>
        <v>11.305</v>
      </c>
      <c r="M33" s="156">
        <f t="shared" si="1"/>
        <v>1141.8050000000001</v>
      </c>
      <c r="N33" s="156">
        <f t="shared" si="2"/>
        <v>588.5</v>
      </c>
      <c r="O33" s="172">
        <f t="shared" si="3"/>
        <v>-0.48458799882641962</v>
      </c>
      <c r="P33" s="158">
        <f t="shared" si="4"/>
        <v>0</v>
      </c>
      <c r="Q33" s="83" t="str">
        <f t="shared" si="5"/>
        <v>Small</v>
      </c>
      <c r="R33" s="166">
        <f t="shared" si="6"/>
        <v>3.3970426524578528E-3</v>
      </c>
    </row>
    <row r="34" spans="1:18" ht="14">
      <c r="A34" s="167">
        <v>24</v>
      </c>
      <c r="B34" s="77" t="s">
        <v>105</v>
      </c>
      <c r="C34" s="77" t="s">
        <v>77</v>
      </c>
      <c r="D34" s="77" t="s">
        <v>10</v>
      </c>
      <c r="E34" s="78">
        <v>200</v>
      </c>
      <c r="F34" s="79">
        <v>40291</v>
      </c>
      <c r="G34" s="80">
        <v>14.32</v>
      </c>
      <c r="H34" s="173">
        <v>4504830000</v>
      </c>
      <c r="I34" s="174">
        <v>35.89</v>
      </c>
      <c r="J34" s="173">
        <v>36.299999999999997</v>
      </c>
      <c r="K34" s="39">
        <v>1.49</v>
      </c>
      <c r="L34" s="157">
        <f t="shared" si="0"/>
        <v>28</v>
      </c>
      <c r="M34" s="156">
        <f t="shared" si="1"/>
        <v>2892</v>
      </c>
      <c r="N34" s="156">
        <f t="shared" si="2"/>
        <v>7178</v>
      </c>
      <c r="O34" s="172">
        <f t="shared" si="3"/>
        <v>1.4820193637621024</v>
      </c>
      <c r="P34" s="158">
        <f t="shared" si="4"/>
        <v>24.087248322147651</v>
      </c>
      <c r="Q34" s="83" t="str">
        <f t="shared" si="5"/>
        <v>Small</v>
      </c>
      <c r="R34" s="166">
        <f t="shared" si="6"/>
        <v>4.1434107322587031E-2</v>
      </c>
    </row>
    <row r="35" spans="1:18" ht="14">
      <c r="A35" s="167">
        <v>25</v>
      </c>
      <c r="B35" s="77" t="s">
        <v>106</v>
      </c>
      <c r="C35" s="77" t="s">
        <v>155</v>
      </c>
      <c r="D35" s="77" t="s">
        <v>8</v>
      </c>
      <c r="E35" s="78">
        <v>100</v>
      </c>
      <c r="F35" s="79">
        <v>40291</v>
      </c>
      <c r="G35" s="80">
        <v>43.63</v>
      </c>
      <c r="H35" s="173">
        <v>1279686860</v>
      </c>
      <c r="I35" s="174">
        <v>5.31</v>
      </c>
      <c r="J35" s="173">
        <v>5.23</v>
      </c>
      <c r="K35" s="39">
        <v>-3.82</v>
      </c>
      <c r="L35" s="157">
        <f t="shared" si="0"/>
        <v>28</v>
      </c>
      <c r="M35" s="156">
        <f t="shared" si="1"/>
        <v>4391</v>
      </c>
      <c r="N35" s="156">
        <f t="shared" si="2"/>
        <v>531</v>
      </c>
      <c r="O35" s="172">
        <f t="shared" si="3"/>
        <v>-0.87907082669095882</v>
      </c>
      <c r="P35" s="158">
        <f t="shared" si="4"/>
        <v>0</v>
      </c>
      <c r="Q35" s="83" t="str">
        <f t="shared" si="5"/>
        <v>Small</v>
      </c>
      <c r="R35" s="166">
        <f t="shared" si="6"/>
        <v>3.0651310933816817E-3</v>
      </c>
    </row>
    <row r="36" spans="1:18" ht="14">
      <c r="A36" s="167">
        <v>26</v>
      </c>
      <c r="B36" s="77" t="s">
        <v>107</v>
      </c>
      <c r="C36" s="77" t="s">
        <v>78</v>
      </c>
      <c r="D36" s="77" t="s">
        <v>14</v>
      </c>
      <c r="E36" s="78">
        <v>10</v>
      </c>
      <c r="F36" s="79">
        <v>40291</v>
      </c>
      <c r="G36" s="80">
        <v>20.86</v>
      </c>
      <c r="H36" s="173">
        <v>22579661595</v>
      </c>
      <c r="I36" s="174">
        <v>39.409999999999997</v>
      </c>
      <c r="J36" s="173">
        <v>38.869999999999997</v>
      </c>
      <c r="K36" s="39">
        <v>1.76</v>
      </c>
      <c r="L36" s="157">
        <f t="shared" si="0"/>
        <v>2.0859999999999999</v>
      </c>
      <c r="M36" s="156">
        <f t="shared" si="1"/>
        <v>210.68600000000001</v>
      </c>
      <c r="N36" s="156">
        <f t="shared" si="2"/>
        <v>394.09999999999997</v>
      </c>
      <c r="O36" s="172">
        <f t="shared" si="3"/>
        <v>0.87055618313509175</v>
      </c>
      <c r="P36" s="158">
        <f t="shared" si="4"/>
        <v>22.392045454545453</v>
      </c>
      <c r="Q36" s="83" t="str">
        <f t="shared" si="5"/>
        <v>Large</v>
      </c>
      <c r="R36" s="166">
        <f t="shared" si="6"/>
        <v>2.2748929640333724E-3</v>
      </c>
    </row>
    <row r="37" spans="1:18" ht="14">
      <c r="A37" s="167">
        <v>27</v>
      </c>
      <c r="B37" s="77" t="s">
        <v>108</v>
      </c>
      <c r="C37" s="77" t="s">
        <v>156</v>
      </c>
      <c r="D37" s="77" t="s">
        <v>13</v>
      </c>
      <c r="E37" s="78">
        <v>150</v>
      </c>
      <c r="F37" s="79">
        <v>40291</v>
      </c>
      <c r="G37" s="80">
        <v>48.01</v>
      </c>
      <c r="H37" s="173">
        <v>49645861156</v>
      </c>
      <c r="I37" s="174">
        <v>78.17</v>
      </c>
      <c r="J37" s="173">
        <v>76.900000000000006</v>
      </c>
      <c r="K37" s="39">
        <v>3.46</v>
      </c>
      <c r="L37" s="157">
        <f t="shared" si="0"/>
        <v>28</v>
      </c>
      <c r="M37" s="156">
        <f t="shared" si="1"/>
        <v>7229.5</v>
      </c>
      <c r="N37" s="156">
        <f t="shared" si="2"/>
        <v>11725.5</v>
      </c>
      <c r="O37" s="172">
        <f t="shared" si="3"/>
        <v>0.62189639670793273</v>
      </c>
      <c r="P37" s="158">
        <f t="shared" si="4"/>
        <v>22.592485549132949</v>
      </c>
      <c r="Q37" s="83" t="str">
        <f t="shared" si="5"/>
        <v>Large</v>
      </c>
      <c r="R37" s="166">
        <f t="shared" si="6"/>
        <v>6.7683982364306797E-2</v>
      </c>
    </row>
    <row r="38" spans="1:18" ht="14">
      <c r="A38" s="167">
        <v>28</v>
      </c>
      <c r="B38" s="77" t="s">
        <v>109</v>
      </c>
      <c r="C38" s="77" t="s">
        <v>157</v>
      </c>
      <c r="D38" s="77" t="s">
        <v>13</v>
      </c>
      <c r="E38" s="78">
        <v>100</v>
      </c>
      <c r="F38" s="79">
        <v>40291</v>
      </c>
      <c r="G38" s="80">
        <v>56.53</v>
      </c>
      <c r="H38" s="173">
        <v>224654982481</v>
      </c>
      <c r="I38" s="244">
        <v>115.26159910000011</v>
      </c>
      <c r="J38" s="173">
        <v>74.069999999999993</v>
      </c>
      <c r="K38" s="39">
        <v>4.38</v>
      </c>
      <c r="L38" s="157">
        <f t="shared" si="0"/>
        <v>28</v>
      </c>
      <c r="M38" s="156">
        <f t="shared" si="1"/>
        <v>5681</v>
      </c>
      <c r="N38" s="156">
        <f t="shared" si="2"/>
        <v>11526.159910000011</v>
      </c>
      <c r="O38" s="172">
        <f t="shared" si="3"/>
        <v>1.0288963052279547</v>
      </c>
      <c r="P38" s="158">
        <f t="shared" si="4"/>
        <v>26.315433584474913</v>
      </c>
      <c r="Q38" s="83" t="str">
        <f t="shared" si="5"/>
        <v>Large</v>
      </c>
      <c r="R38" s="166">
        <f t="shared" si="6"/>
        <v>6.6533316624162786E-2</v>
      </c>
    </row>
    <row r="39" spans="1:18" ht="28">
      <c r="A39" s="167">
        <v>29</v>
      </c>
      <c r="B39" s="77" t="s">
        <v>110</v>
      </c>
      <c r="C39" s="77" t="s">
        <v>79</v>
      </c>
      <c r="D39" s="77" t="s">
        <v>15</v>
      </c>
      <c r="E39" s="78">
        <v>50</v>
      </c>
      <c r="F39" s="79">
        <v>40291</v>
      </c>
      <c r="G39" s="80">
        <v>59.24</v>
      </c>
      <c r="H39" s="173">
        <v>4953343427</v>
      </c>
      <c r="I39" s="174">
        <v>30.51</v>
      </c>
      <c r="J39" s="173">
        <v>28.42</v>
      </c>
      <c r="K39" s="39">
        <v>-2.81</v>
      </c>
      <c r="L39" s="157">
        <f t="shared" si="0"/>
        <v>28</v>
      </c>
      <c r="M39" s="156">
        <f t="shared" si="1"/>
        <v>2990</v>
      </c>
      <c r="N39" s="156">
        <f t="shared" si="2"/>
        <v>1525.5</v>
      </c>
      <c r="O39" s="172">
        <f t="shared" si="3"/>
        <v>-0.4897993311036789</v>
      </c>
      <c r="P39" s="158">
        <f t="shared" si="4"/>
        <v>0</v>
      </c>
      <c r="Q39" s="83" t="str">
        <f t="shared" si="5"/>
        <v>Small</v>
      </c>
      <c r="R39" s="166">
        <f t="shared" si="6"/>
        <v>8.8057579716643228E-3</v>
      </c>
    </row>
    <row r="40" spans="1:18" ht="28">
      <c r="A40" s="167">
        <v>30</v>
      </c>
      <c r="B40" s="77" t="s">
        <v>50</v>
      </c>
      <c r="C40" s="77" t="s">
        <v>158</v>
      </c>
      <c r="D40" s="77" t="s">
        <v>11</v>
      </c>
      <c r="E40" s="78">
        <v>50</v>
      </c>
      <c r="F40" s="79">
        <v>40291</v>
      </c>
      <c r="G40" s="80">
        <v>13.11</v>
      </c>
      <c r="H40" s="173">
        <v>50166800</v>
      </c>
      <c r="I40" s="174">
        <v>2.74</v>
      </c>
      <c r="J40" s="173">
        <v>2.76</v>
      </c>
      <c r="K40" s="39">
        <v>-89.3</v>
      </c>
      <c r="L40" s="157">
        <f t="shared" si="0"/>
        <v>6.5549999999999997</v>
      </c>
      <c r="M40" s="156">
        <f t="shared" si="1"/>
        <v>662.05499999999995</v>
      </c>
      <c r="N40" s="156">
        <f t="shared" si="2"/>
        <v>137</v>
      </c>
      <c r="O40" s="172">
        <f t="shared" si="3"/>
        <v>-0.7930685517064292</v>
      </c>
      <c r="P40" s="158">
        <f t="shared" si="4"/>
        <v>0</v>
      </c>
      <c r="Q40" s="83" t="str">
        <f t="shared" si="5"/>
        <v>Small</v>
      </c>
      <c r="R40" s="166">
        <f t="shared" si="6"/>
        <v>7.9081536684235483E-4</v>
      </c>
    </row>
    <row r="41" spans="1:18" ht="14">
      <c r="A41" s="167">
        <v>31</v>
      </c>
      <c r="B41" s="77" t="s">
        <v>124</v>
      </c>
      <c r="C41" s="77" t="s">
        <v>125</v>
      </c>
      <c r="D41" s="77" t="s">
        <v>10</v>
      </c>
      <c r="E41" s="78">
        <v>50</v>
      </c>
      <c r="F41" s="79">
        <v>40291</v>
      </c>
      <c r="G41" s="80">
        <v>17.64</v>
      </c>
      <c r="H41" s="173">
        <v>44954899199</v>
      </c>
      <c r="I41" s="174">
        <v>47.67</v>
      </c>
      <c r="J41" s="173">
        <v>47</v>
      </c>
      <c r="K41" s="39">
        <v>-0.23</v>
      </c>
      <c r="L41" s="157">
        <f t="shared" si="0"/>
        <v>8.82</v>
      </c>
      <c r="M41" s="156">
        <f t="shared" si="1"/>
        <v>890.82</v>
      </c>
      <c r="N41" s="156">
        <f t="shared" si="2"/>
        <v>2383.5</v>
      </c>
      <c r="O41" s="172">
        <f t="shared" si="3"/>
        <v>1.6756247053276754</v>
      </c>
      <c r="P41" s="158">
        <f t="shared" si="4"/>
        <v>0</v>
      </c>
      <c r="Q41" s="83" t="str">
        <f t="shared" si="5"/>
        <v>Large</v>
      </c>
      <c r="R41" s="166">
        <f t="shared" si="6"/>
        <v>1.3758455670574838E-2</v>
      </c>
    </row>
    <row r="42" spans="1:18">
      <c r="A42" s="167"/>
      <c r="B42" s="167"/>
      <c r="C42" s="167"/>
      <c r="D42" s="167"/>
      <c r="E42" s="167"/>
      <c r="F42" s="167"/>
      <c r="G42" s="23"/>
      <c r="H42" s="167"/>
      <c r="I42" s="167"/>
      <c r="J42" s="23"/>
      <c r="K42" s="23"/>
      <c r="L42" s="71"/>
      <c r="M42" s="24"/>
      <c r="N42" s="24"/>
      <c r="O42" s="91"/>
      <c r="P42" s="23"/>
      <c r="Q42" s="167"/>
      <c r="R42" s="23"/>
    </row>
    <row r="43" spans="1:18">
      <c r="A43" s="167"/>
      <c r="B43" s="167"/>
      <c r="C43" s="167"/>
      <c r="D43" s="167"/>
      <c r="E43" s="167"/>
      <c r="F43" s="167"/>
      <c r="G43" s="23"/>
      <c r="H43" s="167"/>
      <c r="I43" s="167"/>
      <c r="J43" s="23"/>
      <c r="K43" s="23"/>
      <c r="L43" s="167"/>
      <c r="M43" s="167"/>
      <c r="N43" s="167"/>
      <c r="O43" s="23"/>
      <c r="P43" s="23"/>
      <c r="Q43" s="167"/>
      <c r="R43" s="23"/>
    </row>
    <row r="44" spans="1:18">
      <c r="A44" s="167"/>
      <c r="B44" s="136" t="s">
        <v>190</v>
      </c>
      <c r="C44" s="167"/>
      <c r="D44" s="167"/>
      <c r="E44" s="167"/>
      <c r="F44" s="167"/>
      <c r="G44" s="23"/>
      <c r="H44" s="167"/>
      <c r="I44" s="167"/>
      <c r="J44" s="23"/>
      <c r="K44" s="23"/>
      <c r="L44" s="167"/>
      <c r="M44" s="167"/>
      <c r="N44" s="167"/>
      <c r="O44" s="23"/>
      <c r="P44" s="23"/>
      <c r="Q44" s="167"/>
      <c r="R44" s="23"/>
    </row>
    <row r="45" spans="1:18" ht="16">
      <c r="A45" s="72"/>
      <c r="B45" s="31" t="s">
        <v>27</v>
      </c>
      <c r="C45" s="32"/>
      <c r="D45" s="167"/>
      <c r="E45" s="167"/>
      <c r="F45" s="167"/>
      <c r="G45" s="23"/>
      <c r="H45" s="167"/>
      <c r="I45" s="167"/>
      <c r="J45" s="23"/>
      <c r="K45" s="23"/>
      <c r="L45" s="167"/>
      <c r="M45" s="167"/>
      <c r="N45" s="167"/>
      <c r="O45" s="23"/>
      <c r="P45" s="23"/>
      <c r="Q45" s="167"/>
      <c r="R45" s="23"/>
    </row>
    <row r="46" spans="1:18">
      <c r="A46" s="73" t="s">
        <v>143</v>
      </c>
      <c r="B46" s="138" t="s">
        <v>28</v>
      </c>
      <c r="C46" s="139" t="s">
        <v>28</v>
      </c>
      <c r="D46" s="167"/>
      <c r="E46" s="167"/>
      <c r="F46" s="167"/>
      <c r="G46" s="23"/>
      <c r="H46" s="167"/>
      <c r="I46" s="167"/>
      <c r="J46" s="23"/>
      <c r="K46" s="23"/>
      <c r="L46" s="167"/>
      <c r="M46" s="167"/>
      <c r="N46" s="167"/>
      <c r="O46" s="171">
        <f>((SUM(N11:N41)-SUM(M11:M41))/SUM(M11:M41))</f>
        <v>0.33000000000000013</v>
      </c>
      <c r="P46" s="23"/>
      <c r="Q46" s="167"/>
      <c r="R46" s="23"/>
    </row>
    <row r="47" spans="1:18">
      <c r="A47" s="73" t="s">
        <v>141</v>
      </c>
      <c r="B47" s="33" t="s">
        <v>29</v>
      </c>
      <c r="C47" s="134" t="s">
        <v>29</v>
      </c>
      <c r="D47" s="167"/>
      <c r="E47" s="167"/>
      <c r="F47" s="167"/>
      <c r="G47" s="160">
        <f>AVERAGE(G11:G41)</f>
        <v>42.089032258064513</v>
      </c>
      <c r="H47" s="167"/>
      <c r="I47" s="167"/>
      <c r="J47" s="23"/>
      <c r="K47" s="23"/>
      <c r="L47" s="167"/>
      <c r="M47" s="167"/>
      <c r="N47" s="160">
        <f>AVERAGE(N11:N41)</f>
        <v>5588.3522551612914</v>
      </c>
      <c r="O47" s="163">
        <f>AVERAGE(O11:O41)</f>
        <v>0.38572432402986967</v>
      </c>
      <c r="P47" s="137">
        <f>AVERAGE(P11:P41)</f>
        <v>20.17152191225842</v>
      </c>
      <c r="Q47" s="167"/>
      <c r="R47" s="23"/>
    </row>
    <row r="48" spans="1:18">
      <c r="A48" s="73" t="s">
        <v>142</v>
      </c>
      <c r="B48" s="140" t="s">
        <v>30</v>
      </c>
      <c r="C48" s="141" t="s">
        <v>30</v>
      </c>
      <c r="D48" s="167"/>
      <c r="E48" s="167"/>
      <c r="F48" s="167"/>
      <c r="G48" s="161">
        <f>MAX(G11:G41)</f>
        <v>126.99</v>
      </c>
      <c r="H48" s="167"/>
      <c r="I48" s="167"/>
      <c r="J48" s="161">
        <f>MAX(J11:J41)</f>
        <v>164.4</v>
      </c>
      <c r="K48" s="161">
        <f>MAX(K11:K41)</f>
        <v>12.38</v>
      </c>
      <c r="L48" s="49"/>
      <c r="M48" s="49"/>
      <c r="N48" s="161">
        <f>MAX(N11:N41)</f>
        <v>16272</v>
      </c>
      <c r="O48" s="164">
        <f>MAX(O11:O41)</f>
        <v>1.6756247053276754</v>
      </c>
      <c r="P48" s="142">
        <f>MAX(P11:P41)</f>
        <v>110.02702702702703</v>
      </c>
      <c r="Q48" s="167"/>
      <c r="R48" s="143">
        <f>MAX(R11:R41)</f>
        <v>9.3928085031086114E-2</v>
      </c>
    </row>
    <row r="49" spans="1:18">
      <c r="A49" s="167"/>
      <c r="B49" s="144" t="s">
        <v>31</v>
      </c>
      <c r="C49" s="145" t="s">
        <v>184</v>
      </c>
      <c r="D49" s="167"/>
      <c r="E49" s="167"/>
      <c r="F49" s="167"/>
      <c r="G49" s="162">
        <f>MIN(G11:G41)</f>
        <v>10.48</v>
      </c>
      <c r="H49" s="167"/>
      <c r="I49" s="167"/>
      <c r="J49" s="162">
        <f>MIN(J11:J41)</f>
        <v>2.76</v>
      </c>
      <c r="K49" s="162">
        <f>MIN(K11:K41)</f>
        <v>-89.3</v>
      </c>
      <c r="L49" s="49"/>
      <c r="M49" s="49"/>
      <c r="N49" s="162">
        <f>MIN(N11:N41)</f>
        <v>137</v>
      </c>
      <c r="O49" s="165">
        <f>MIN(O11:O41)</f>
        <v>-0.87907082669095882</v>
      </c>
      <c r="P49" s="147">
        <f>MIN(P11:P41)</f>
        <v>0</v>
      </c>
      <c r="Q49" s="167"/>
      <c r="R49" s="146">
        <f>MIN(R11:R41)</f>
        <v>7.9081536684235483E-4</v>
      </c>
    </row>
    <row r="50" spans="1:18">
      <c r="A50" s="167"/>
      <c r="B50" s="167"/>
      <c r="C50" s="167"/>
      <c r="D50" s="167"/>
      <c r="E50" s="167"/>
      <c r="F50" s="167"/>
      <c r="G50" s="167"/>
      <c r="H50" s="82" t="s">
        <v>43</v>
      </c>
      <c r="I50" s="167"/>
      <c r="J50" s="167"/>
      <c r="K50" s="167"/>
      <c r="L50" s="167"/>
      <c r="M50" s="167"/>
      <c r="N50" s="167"/>
      <c r="O50" s="167"/>
      <c r="P50" s="167"/>
      <c r="Q50" s="167"/>
      <c r="R50" s="167"/>
    </row>
    <row r="51" spans="1:18">
      <c r="A51" s="49"/>
      <c r="B51" s="49"/>
      <c r="C51" s="49"/>
      <c r="D51" s="49"/>
      <c r="E51" s="49"/>
      <c r="F51" s="49"/>
      <c r="G51" s="49"/>
      <c r="H51" s="49"/>
      <c r="I51" s="49"/>
      <c r="J51" s="49"/>
      <c r="K51" s="49"/>
      <c r="L51" s="49"/>
      <c r="M51" s="49"/>
      <c r="N51" s="49"/>
      <c r="O51" s="49"/>
      <c r="P51" s="49"/>
      <c r="Q51" s="49"/>
      <c r="R51" s="49"/>
    </row>
    <row r="52" spans="1:18">
      <c r="A52" s="49"/>
      <c r="B52" s="49"/>
      <c r="C52" s="49"/>
      <c r="D52" s="49"/>
      <c r="E52" s="49"/>
      <c r="F52" s="49"/>
      <c r="G52" s="49"/>
      <c r="H52" s="49"/>
      <c r="I52" s="49"/>
      <c r="J52" s="49"/>
      <c r="K52" s="49"/>
      <c r="L52" s="49"/>
      <c r="M52" s="49"/>
      <c r="N52" s="49"/>
      <c r="O52" s="49"/>
      <c r="P52" s="49"/>
      <c r="Q52" s="49"/>
      <c r="R52" s="49"/>
    </row>
    <row r="53" spans="1:18">
      <c r="A53" s="49"/>
      <c r="B53" s="203" t="s">
        <v>0</v>
      </c>
      <c r="C53" s="203" t="s">
        <v>17</v>
      </c>
      <c r="D53" s="203" t="s">
        <v>235</v>
      </c>
      <c r="E53" s="203" t="s">
        <v>23</v>
      </c>
      <c r="F53" s="203" t="s">
        <v>21</v>
      </c>
      <c r="G53" s="203" t="s">
        <v>237</v>
      </c>
      <c r="H53" s="203"/>
      <c r="I53" s="203"/>
      <c r="J53" s="203"/>
      <c r="K53" s="203"/>
      <c r="L53" s="203"/>
      <c r="M53" s="203"/>
      <c r="N53" s="203"/>
      <c r="O53" s="203"/>
      <c r="P53" s="203"/>
      <c r="Q53" s="203"/>
      <c r="R53" s="203"/>
    </row>
    <row r="54" spans="1:18">
      <c r="A54" s="49"/>
      <c r="B54" s="150" t="s">
        <v>236</v>
      </c>
      <c r="C54" s="150">
        <v>74.8</v>
      </c>
      <c r="D54" s="242">
        <v>100</v>
      </c>
      <c r="E54" s="150">
        <v>7480</v>
      </c>
      <c r="F54" s="167">
        <v>5681</v>
      </c>
      <c r="G54" s="243">
        <f>((SUM(N11:N41)-SUM(M11:M41))/SUM(M11:M41))</f>
        <v>0.33000000000000013</v>
      </c>
      <c r="H54" s="206"/>
      <c r="I54" s="206"/>
      <c r="J54" s="206"/>
      <c r="K54" s="207"/>
      <c r="L54" s="237"/>
      <c r="M54" s="208"/>
      <c r="N54" s="208"/>
      <c r="O54" s="209"/>
      <c r="P54" s="238"/>
      <c r="Q54" s="203"/>
      <c r="R54" s="239"/>
    </row>
    <row r="56" spans="1:18">
      <c r="B56" s="324" t="s">
        <v>425</v>
      </c>
      <c r="C56" s="324"/>
      <c r="D56" s="324"/>
    </row>
    <row r="57" spans="1:18">
      <c r="B57" s="324"/>
      <c r="C57" s="324"/>
      <c r="D57" s="324"/>
    </row>
  </sheetData>
  <mergeCells count="1">
    <mergeCell ref="B56:D57"/>
  </mergeCells>
  <pageMargins left="0.7" right="0.7" top="0.75" bottom="0.75" header="0.3" footer="0.3"/>
  <pageSetup orientation="portrait" horizontalDpi="4294967293" verticalDpi="4294967293" r:id="rId1"/>
  <headerFooter>
    <oddHeader>&amp;CStephanie Agbenorhevi</oddHead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F3F216-AA97-0548-80B4-65B69E70826D}">
  <sheetPr codeName="Sheet17"/>
  <dimension ref="A10:R189"/>
  <sheetViews>
    <sheetView view="pageLayout" zoomScaleNormal="100" workbookViewId="0">
      <selection activeCell="A188" sqref="A188:D189"/>
    </sheetView>
  </sheetViews>
  <sheetFormatPr baseColWidth="10" defaultRowHeight="13"/>
  <cols>
    <col min="3" max="3" width="20" customWidth="1"/>
    <col min="4" max="4" width="12.6640625" customWidth="1"/>
    <col min="5" max="5" width="16.33203125" customWidth="1"/>
    <col min="6" max="6" width="14.1640625" customWidth="1"/>
    <col min="7" max="7" width="15" customWidth="1"/>
    <col min="8" max="8" width="18.5" customWidth="1"/>
    <col min="10" max="10" width="15.33203125" customWidth="1"/>
    <col min="11" max="11" width="17.83203125" customWidth="1"/>
    <col min="14" max="14" width="15" customWidth="1"/>
    <col min="17" max="17" width="18.83203125" customWidth="1"/>
    <col min="18" max="18" width="17.83203125" customWidth="1"/>
  </cols>
  <sheetData>
    <row r="10" spans="1:18">
      <c r="A10" s="167"/>
      <c r="B10" s="83" t="s">
        <v>0</v>
      </c>
      <c r="C10" s="83" t="s">
        <v>1</v>
      </c>
      <c r="D10" s="83" t="s">
        <v>2</v>
      </c>
      <c r="E10" s="83" t="s">
        <v>3</v>
      </c>
      <c r="F10" s="83" t="s">
        <v>4</v>
      </c>
      <c r="G10" s="83" t="s">
        <v>5</v>
      </c>
      <c r="H10" s="83" t="s">
        <v>16</v>
      </c>
      <c r="I10" s="83" t="s">
        <v>17</v>
      </c>
      <c r="J10" s="83" t="s">
        <v>18</v>
      </c>
      <c r="K10" s="83" t="s">
        <v>19</v>
      </c>
      <c r="L10" s="83" t="s">
        <v>20</v>
      </c>
      <c r="M10" s="83" t="s">
        <v>21</v>
      </c>
      <c r="N10" s="83" t="s">
        <v>23</v>
      </c>
      <c r="O10" s="83" t="s">
        <v>24</v>
      </c>
      <c r="P10" s="83" t="s">
        <v>25</v>
      </c>
      <c r="Q10" s="83" t="s">
        <v>26</v>
      </c>
      <c r="R10" s="83" t="s">
        <v>22</v>
      </c>
    </row>
    <row r="11" spans="1:18">
      <c r="A11" s="167">
        <v>1</v>
      </c>
      <c r="B11" s="45" t="s">
        <v>171</v>
      </c>
      <c r="C11" s="45" t="s">
        <v>174</v>
      </c>
      <c r="D11" s="45" t="s">
        <v>12</v>
      </c>
      <c r="E11" s="45">
        <v>104.50236934415528</v>
      </c>
      <c r="F11" s="120">
        <v>40291</v>
      </c>
      <c r="G11" s="119">
        <v>28.53</v>
      </c>
      <c r="H11" s="173">
        <v>75323415209</v>
      </c>
      <c r="I11" s="174">
        <v>43.98</v>
      </c>
      <c r="J11" s="173">
        <v>43.59</v>
      </c>
      <c r="K11" s="39">
        <v>0.94</v>
      </c>
      <c r="L11" s="157">
        <f>IF((E11*G11*0.01)&gt;28,28,(E11*G11*0.01))</f>
        <v>28</v>
      </c>
      <c r="M11" s="156">
        <f>G11*E11+L11</f>
        <v>3009.4525973887503</v>
      </c>
      <c r="N11" s="156">
        <f>I11*E11</f>
        <v>4596.014203755949</v>
      </c>
      <c r="O11" s="172">
        <f>(N11-M11)/M11</f>
        <v>0.52719275516877406</v>
      </c>
      <c r="P11" s="158">
        <f>IF(K11&lt;=0,0,(I11/K11))</f>
        <v>46.787234042553187</v>
      </c>
      <c r="Q11" s="83" t="str">
        <f>IF(H11&gt;10000000000,"Large",IF(AND(H11&gt;=5000000000,H11&lt;=10000000000),"Medium",IF(H11&lt;5000000000,"Small","N/A")))</f>
        <v>Large</v>
      </c>
      <c r="R11" s="166">
        <f>N11/SUM($N$11:$N$41)</f>
        <v>2.553822875484478E-2</v>
      </c>
    </row>
    <row r="12" spans="1:18" ht="14">
      <c r="A12" s="167">
        <v>2</v>
      </c>
      <c r="B12" s="48" t="s">
        <v>177</v>
      </c>
      <c r="C12" s="77" t="s">
        <v>144</v>
      </c>
      <c r="D12" s="45" t="s">
        <v>12</v>
      </c>
      <c r="E12" s="78">
        <v>116.72330370066715</v>
      </c>
      <c r="F12" s="79">
        <v>40291</v>
      </c>
      <c r="G12" s="80">
        <v>105.48</v>
      </c>
      <c r="H12" s="40">
        <v>123606162095</v>
      </c>
      <c r="I12" s="38">
        <v>162.72</v>
      </c>
      <c r="J12" s="39">
        <v>164.4</v>
      </c>
      <c r="K12" s="39">
        <v>9.06</v>
      </c>
      <c r="L12" s="157">
        <f t="shared" ref="L12:L41" si="0">IF((E12*G12*0.01)&gt;28,28,(E12*G12*0.01))</f>
        <v>28</v>
      </c>
      <c r="M12" s="156">
        <f t="shared" ref="M12:M41" si="1">G12*E12+L12</f>
        <v>12339.974074346372</v>
      </c>
      <c r="N12" s="156">
        <f t="shared" ref="N12:N41" si="2">I12*E12</f>
        <v>18993.215978172557</v>
      </c>
      <c r="O12" s="172">
        <f t="shared" ref="O12:O41" si="3">(N12-M12)/M12</f>
        <v>0.53916174083847068</v>
      </c>
      <c r="P12" s="158">
        <f t="shared" ref="P12:P41" si="4">IF(K12&lt;=0,0,(I12/K12))</f>
        <v>17.960264900662249</v>
      </c>
      <c r="Q12" s="83" t="str">
        <f t="shared" ref="Q12:Q41" si="5">IF(H12&gt;10000000000,"Large",IF(AND(H12&gt;=5000000000,H12&lt;=10000000000),"Medium",IF(H12&lt;5000000000,"Small","N/A")))</f>
        <v>Large</v>
      </c>
      <c r="R12" s="166">
        <f t="shared" ref="R12:R41" si="6">N12/SUM($N$11:$N$41)</f>
        <v>0.1055377709765016</v>
      </c>
    </row>
    <row r="13" spans="1:18" ht="28">
      <c r="A13" s="167">
        <v>3</v>
      </c>
      <c r="B13" s="48" t="s">
        <v>168</v>
      </c>
      <c r="C13" s="77" t="s">
        <v>66</v>
      </c>
      <c r="D13" s="77" t="s">
        <v>6</v>
      </c>
      <c r="E13" s="78">
        <v>107.42759159800958</v>
      </c>
      <c r="F13" s="79">
        <v>40291</v>
      </c>
      <c r="G13" s="80">
        <v>67.88</v>
      </c>
      <c r="H13" s="173">
        <v>15857072051</v>
      </c>
      <c r="I13" s="174">
        <v>99.59</v>
      </c>
      <c r="J13" s="173">
        <v>98.04</v>
      </c>
      <c r="K13" s="39">
        <v>5.59</v>
      </c>
      <c r="L13" s="157">
        <f t="shared" si="0"/>
        <v>28</v>
      </c>
      <c r="M13" s="156">
        <f t="shared" si="1"/>
        <v>7320.1849176728902</v>
      </c>
      <c r="N13" s="156">
        <f t="shared" si="2"/>
        <v>10698.713847245775</v>
      </c>
      <c r="O13" s="172">
        <f t="shared" si="3"/>
        <v>0.46153600866232358</v>
      </c>
      <c r="P13" s="158">
        <f t="shared" si="4"/>
        <v>17.815742397137747</v>
      </c>
      <c r="Q13" s="83" t="str">
        <f t="shared" si="5"/>
        <v>Large</v>
      </c>
      <c r="R13" s="166">
        <f t="shared" si="6"/>
        <v>5.9448511144787698E-2</v>
      </c>
    </row>
    <row r="14" spans="1:18" ht="14">
      <c r="A14" s="167">
        <v>4</v>
      </c>
      <c r="B14" s="48" t="s">
        <v>91</v>
      </c>
      <c r="C14" s="77" t="s">
        <v>145</v>
      </c>
      <c r="D14" s="77" t="s">
        <v>7</v>
      </c>
      <c r="E14" s="78">
        <v>108.28655895398714</v>
      </c>
      <c r="F14" s="79">
        <v>40291</v>
      </c>
      <c r="G14" s="80">
        <v>34.46</v>
      </c>
      <c r="H14" s="173">
        <v>17434838571</v>
      </c>
      <c r="I14" s="174">
        <v>57.5</v>
      </c>
      <c r="J14" s="173">
        <v>57.28</v>
      </c>
      <c r="K14" s="39">
        <v>1.61</v>
      </c>
      <c r="L14" s="157">
        <f t="shared" si="0"/>
        <v>28</v>
      </c>
      <c r="M14" s="156">
        <f t="shared" si="1"/>
        <v>3759.5548215543968</v>
      </c>
      <c r="N14" s="156">
        <f t="shared" si="2"/>
        <v>6226.4771398542607</v>
      </c>
      <c r="O14" s="172">
        <f t="shared" si="3"/>
        <v>0.6561740512883143</v>
      </c>
      <c r="P14" s="158">
        <f t="shared" si="4"/>
        <v>35.714285714285715</v>
      </c>
      <c r="Q14" s="83" t="str">
        <f t="shared" si="5"/>
        <v>Large</v>
      </c>
      <c r="R14" s="166">
        <f t="shared" si="6"/>
        <v>3.459806486334642E-2</v>
      </c>
    </row>
    <row r="15" spans="1:18" ht="14">
      <c r="A15" s="167">
        <v>5</v>
      </c>
      <c r="B15" s="48" t="s">
        <v>44</v>
      </c>
      <c r="C15" s="77" t="s">
        <v>80</v>
      </c>
      <c r="D15" s="77" t="s">
        <v>7</v>
      </c>
      <c r="E15" s="78">
        <v>227.71053939004119</v>
      </c>
      <c r="F15" s="79">
        <v>40291</v>
      </c>
      <c r="G15" s="80">
        <v>23.15</v>
      </c>
      <c r="H15" s="173">
        <v>17224304201</v>
      </c>
      <c r="I15" s="174">
        <v>40.72</v>
      </c>
      <c r="J15" s="173">
        <v>40.479999999999997</v>
      </c>
      <c r="K15" s="39">
        <v>1.38</v>
      </c>
      <c r="L15" s="157">
        <f t="shared" si="0"/>
        <v>28</v>
      </c>
      <c r="M15" s="156">
        <f t="shared" si="1"/>
        <v>5299.4989868794537</v>
      </c>
      <c r="N15" s="156">
        <f t="shared" si="2"/>
        <v>9272.3731639624766</v>
      </c>
      <c r="O15" s="172">
        <f t="shared" si="3"/>
        <v>0.74966976820244702</v>
      </c>
      <c r="P15" s="158">
        <f t="shared" si="4"/>
        <v>29.507246376811597</v>
      </c>
      <c r="Q15" s="83" t="str">
        <f t="shared" si="5"/>
        <v>Large</v>
      </c>
      <c r="R15" s="166">
        <f t="shared" si="6"/>
        <v>5.1522901467110395E-2</v>
      </c>
    </row>
    <row r="16" spans="1:18" ht="14">
      <c r="A16" s="167">
        <v>6</v>
      </c>
      <c r="B16" s="48" t="s">
        <v>92</v>
      </c>
      <c r="C16" s="77" t="s">
        <v>69</v>
      </c>
      <c r="D16" s="77" t="s">
        <v>8</v>
      </c>
      <c r="E16" s="78">
        <v>67.176023317169836</v>
      </c>
      <c r="F16" s="79">
        <v>40291</v>
      </c>
      <c r="G16" s="80">
        <v>69.41</v>
      </c>
      <c r="H16" s="173">
        <v>20590550000</v>
      </c>
      <c r="I16" s="174">
        <v>39.700000000000003</v>
      </c>
      <c r="J16" s="173">
        <v>39.25</v>
      </c>
      <c r="K16" s="39">
        <v>-6.52</v>
      </c>
      <c r="L16" s="157">
        <f t="shared" si="0"/>
        <v>28</v>
      </c>
      <c r="M16" s="156">
        <f t="shared" si="1"/>
        <v>4690.6877784447579</v>
      </c>
      <c r="N16" s="156">
        <f t="shared" si="2"/>
        <v>2666.8881256916425</v>
      </c>
      <c r="O16" s="172">
        <f t="shared" si="3"/>
        <v>-0.43145051394235528</v>
      </c>
      <c r="P16" s="158">
        <f t="shared" si="4"/>
        <v>0</v>
      </c>
      <c r="Q16" s="83" t="str">
        <f t="shared" si="5"/>
        <v>Large</v>
      </c>
      <c r="R16" s="166">
        <f t="shared" si="6"/>
        <v>1.4818839977003029E-2</v>
      </c>
    </row>
    <row r="17" spans="1:18" ht="14">
      <c r="A17" s="167">
        <v>7</v>
      </c>
      <c r="B17" s="48" t="s">
        <v>93</v>
      </c>
      <c r="C17" s="77" t="s">
        <v>70</v>
      </c>
      <c r="D17" s="77" t="s">
        <v>7</v>
      </c>
      <c r="E17" s="78">
        <v>77.971353260607046</v>
      </c>
      <c r="F17" s="79">
        <v>40291</v>
      </c>
      <c r="G17" s="80">
        <v>70.63</v>
      </c>
      <c r="H17" s="173">
        <v>33323671651</v>
      </c>
      <c r="I17" s="174">
        <v>57.88</v>
      </c>
      <c r="J17" s="173">
        <v>57.84</v>
      </c>
      <c r="K17" s="39">
        <v>2.7</v>
      </c>
      <c r="L17" s="157">
        <f t="shared" si="0"/>
        <v>28</v>
      </c>
      <c r="M17" s="156">
        <f t="shared" si="1"/>
        <v>5535.1166807966756</v>
      </c>
      <c r="N17" s="156">
        <f t="shared" si="2"/>
        <v>4512.9819267239363</v>
      </c>
      <c r="O17" s="172">
        <f t="shared" si="3"/>
        <v>-0.18466363276837414</v>
      </c>
      <c r="P17" s="158">
        <f t="shared" si="4"/>
        <v>21.437037037037037</v>
      </c>
      <c r="Q17" s="83" t="str">
        <f t="shared" si="5"/>
        <v>Large</v>
      </c>
      <c r="R17" s="166">
        <f t="shared" si="6"/>
        <v>2.5076851311070503E-2</v>
      </c>
    </row>
    <row r="18" spans="1:18" ht="14">
      <c r="A18" s="167">
        <v>8</v>
      </c>
      <c r="B18" s="48" t="s">
        <v>173</v>
      </c>
      <c r="C18" s="77" t="s">
        <v>175</v>
      </c>
      <c r="D18" s="77" t="s">
        <v>12</v>
      </c>
      <c r="E18" s="78">
        <v>171.29507089485315</v>
      </c>
      <c r="F18" s="79">
        <v>40291</v>
      </c>
      <c r="G18" s="80">
        <v>20.14</v>
      </c>
      <c r="H18" s="173">
        <v>109621013986</v>
      </c>
      <c r="I18" s="174">
        <v>40.71</v>
      </c>
      <c r="J18" s="173">
        <v>40.840000000000003</v>
      </c>
      <c r="K18" s="39">
        <v>0.37</v>
      </c>
      <c r="L18" s="157">
        <f t="shared" si="0"/>
        <v>28</v>
      </c>
      <c r="M18" s="156">
        <f t="shared" si="1"/>
        <v>3477.8827278223425</v>
      </c>
      <c r="N18" s="156">
        <f t="shared" si="2"/>
        <v>6973.4223361294717</v>
      </c>
      <c r="O18" s="172">
        <f t="shared" si="3"/>
        <v>1.005076905078925</v>
      </c>
      <c r="P18" s="158">
        <f t="shared" si="4"/>
        <v>110.02702702702703</v>
      </c>
      <c r="Q18" s="83" t="str">
        <f t="shared" si="5"/>
        <v>Large</v>
      </c>
      <c r="R18" s="166">
        <f t="shared" si="6"/>
        <v>3.8748543178713631E-2</v>
      </c>
    </row>
    <row r="19" spans="1:18" ht="28">
      <c r="A19" s="167">
        <v>9</v>
      </c>
      <c r="B19" s="43" t="s">
        <v>94</v>
      </c>
      <c r="C19" s="44" t="s">
        <v>146</v>
      </c>
      <c r="D19" s="77" t="s">
        <v>9</v>
      </c>
      <c r="E19" s="78">
        <v>32.507950914103724</v>
      </c>
      <c r="F19" s="79">
        <v>40291</v>
      </c>
      <c r="G19" s="80">
        <v>40.53</v>
      </c>
      <c r="H19" s="173">
        <v>11939394310</v>
      </c>
      <c r="I19" s="174">
        <v>96.01</v>
      </c>
      <c r="J19" s="173">
        <v>95.51</v>
      </c>
      <c r="K19" s="39">
        <v>4.34</v>
      </c>
      <c r="L19" s="157">
        <f t="shared" si="0"/>
        <v>13.175472505486239</v>
      </c>
      <c r="M19" s="156">
        <f t="shared" si="1"/>
        <v>1330.72272305411</v>
      </c>
      <c r="N19" s="156">
        <f t="shared" si="2"/>
        <v>3121.0883672630985</v>
      </c>
      <c r="O19" s="172">
        <f t="shared" si="3"/>
        <v>1.3454084860743662</v>
      </c>
      <c r="P19" s="158">
        <f t="shared" si="4"/>
        <v>22.122119815668206</v>
      </c>
      <c r="Q19" s="83" t="str">
        <f t="shared" si="5"/>
        <v>Large</v>
      </c>
      <c r="R19" s="166">
        <f t="shared" si="6"/>
        <v>1.7342650643270837E-2</v>
      </c>
    </row>
    <row r="20" spans="1:18" ht="14">
      <c r="A20" s="167">
        <v>10</v>
      </c>
      <c r="B20" s="48" t="s">
        <v>52</v>
      </c>
      <c r="C20" s="77" t="s">
        <v>147</v>
      </c>
      <c r="D20" s="45" t="s">
        <v>10</v>
      </c>
      <c r="E20" s="23">
        <v>96.233581048318158</v>
      </c>
      <c r="F20" s="46">
        <v>40291</v>
      </c>
      <c r="G20" s="47">
        <v>18.53</v>
      </c>
      <c r="H20" s="173">
        <v>31076572682</v>
      </c>
      <c r="I20" s="174">
        <v>18.52</v>
      </c>
      <c r="J20" s="173">
        <v>18.38</v>
      </c>
      <c r="K20" s="39">
        <v>1.46</v>
      </c>
      <c r="L20" s="157">
        <f t="shared" si="0"/>
        <v>17.832082568253355</v>
      </c>
      <c r="M20" s="156">
        <f t="shared" si="1"/>
        <v>1801.040339393589</v>
      </c>
      <c r="N20" s="156">
        <f t="shared" si="2"/>
        <v>1782.2459210148522</v>
      </c>
      <c r="O20" s="172">
        <f t="shared" si="3"/>
        <v>-1.043531228460148E-2</v>
      </c>
      <c r="P20" s="158">
        <f t="shared" si="4"/>
        <v>12.684931506849315</v>
      </c>
      <c r="Q20" s="83" t="str">
        <f t="shared" si="5"/>
        <v>Large</v>
      </c>
      <c r="R20" s="166">
        <f t="shared" si="6"/>
        <v>9.9032339784916844E-3</v>
      </c>
    </row>
    <row r="21" spans="1:18" ht="14">
      <c r="A21" s="167">
        <v>11</v>
      </c>
      <c r="B21" s="48" t="s">
        <v>95</v>
      </c>
      <c r="C21" s="77" t="s">
        <v>148</v>
      </c>
      <c r="D21" s="77" t="s">
        <v>7</v>
      </c>
      <c r="E21" s="78">
        <v>129.60828300529084</v>
      </c>
      <c r="F21" s="79">
        <v>40291</v>
      </c>
      <c r="G21" s="80">
        <v>48.72</v>
      </c>
      <c r="H21" s="173">
        <v>23104464730</v>
      </c>
      <c r="I21" s="174">
        <v>108.8</v>
      </c>
      <c r="J21" s="173">
        <v>108.63</v>
      </c>
      <c r="K21" s="39">
        <v>3.34</v>
      </c>
      <c r="L21" s="157">
        <f t="shared" si="0"/>
        <v>28</v>
      </c>
      <c r="M21" s="156">
        <f t="shared" si="1"/>
        <v>6342.51554801777</v>
      </c>
      <c r="N21" s="156">
        <f t="shared" si="2"/>
        <v>14101.381190975644</v>
      </c>
      <c r="O21" s="172">
        <f t="shared" si="3"/>
        <v>1.2233104647859723</v>
      </c>
      <c r="P21" s="158">
        <f t="shared" si="4"/>
        <v>32.574850299401199</v>
      </c>
      <c r="Q21" s="83" t="str">
        <f t="shared" si="5"/>
        <v>Large</v>
      </c>
      <c r="R21" s="166">
        <f t="shared" si="6"/>
        <v>7.8355784523055041E-2</v>
      </c>
    </row>
    <row r="22" spans="1:18" ht="28">
      <c r="A22" s="167">
        <v>12</v>
      </c>
      <c r="B22" s="48" t="s">
        <v>96</v>
      </c>
      <c r="C22" s="77" t="s">
        <v>71</v>
      </c>
      <c r="D22" s="77" t="s">
        <v>10</v>
      </c>
      <c r="E22" s="78">
        <v>49.568721905908077</v>
      </c>
      <c r="F22" s="79">
        <v>40291</v>
      </c>
      <c r="G22" s="80">
        <v>126.99</v>
      </c>
      <c r="H22" s="173">
        <v>152508037371</v>
      </c>
      <c r="I22" s="174">
        <v>162.30000000000001</v>
      </c>
      <c r="J22" s="173">
        <v>161.69</v>
      </c>
      <c r="K22" s="39">
        <v>12.38</v>
      </c>
      <c r="L22" s="157">
        <f t="shared" si="0"/>
        <v>28</v>
      </c>
      <c r="M22" s="156">
        <f t="shared" si="1"/>
        <v>6322.7319948312661</v>
      </c>
      <c r="N22" s="156">
        <f>I22*E22</f>
        <v>8045.0035653288815</v>
      </c>
      <c r="O22" s="172">
        <f t="shared" si="3"/>
        <v>0.27239357478785203</v>
      </c>
      <c r="P22" s="158">
        <f t="shared" si="4"/>
        <v>13.109854604200324</v>
      </c>
      <c r="Q22" s="83" t="str">
        <f t="shared" si="5"/>
        <v>Large</v>
      </c>
      <c r="R22" s="166">
        <f t="shared" si="6"/>
        <v>4.4702895221039353E-2</v>
      </c>
    </row>
    <row r="23" spans="1:18" ht="28">
      <c r="A23" s="167">
        <v>13</v>
      </c>
      <c r="B23" s="48" t="s">
        <v>97</v>
      </c>
      <c r="C23" s="77" t="s">
        <v>149</v>
      </c>
      <c r="D23" s="77" t="s">
        <v>11</v>
      </c>
      <c r="E23" s="78">
        <v>78.270554792570323</v>
      </c>
      <c r="F23" s="79">
        <v>40291</v>
      </c>
      <c r="G23" s="80">
        <v>56.48</v>
      </c>
      <c r="H23" s="173">
        <v>3457914174</v>
      </c>
      <c r="I23" s="174">
        <v>39.96</v>
      </c>
      <c r="J23" s="173">
        <v>39</v>
      </c>
      <c r="K23" s="39">
        <v>2.0699999999999998</v>
      </c>
      <c r="L23" s="157">
        <f t="shared" si="0"/>
        <v>28</v>
      </c>
      <c r="M23" s="156">
        <f t="shared" si="1"/>
        <v>4448.720934684372</v>
      </c>
      <c r="N23" s="156">
        <f t="shared" si="2"/>
        <v>3127.6913695111102</v>
      </c>
      <c r="O23" s="172">
        <f t="shared" si="3"/>
        <v>-0.2969459277325936</v>
      </c>
      <c r="P23" s="158">
        <f t="shared" si="4"/>
        <v>19.304347826086957</v>
      </c>
      <c r="Q23" s="83" t="str">
        <f t="shared" si="5"/>
        <v>Small</v>
      </c>
      <c r="R23" s="166">
        <f t="shared" si="6"/>
        <v>1.7379340908879822E-2</v>
      </c>
    </row>
    <row r="24" spans="1:18" ht="28">
      <c r="A24" s="167">
        <v>14</v>
      </c>
      <c r="B24" s="48" t="s">
        <v>98</v>
      </c>
      <c r="C24" s="77" t="s">
        <v>72</v>
      </c>
      <c r="D24" s="77" t="s">
        <v>11</v>
      </c>
      <c r="E24" s="78">
        <v>98.222429245615658</v>
      </c>
      <c r="F24" s="79">
        <v>40291</v>
      </c>
      <c r="G24" s="80">
        <v>34.229999999999997</v>
      </c>
      <c r="H24" s="173">
        <v>38749953547</v>
      </c>
      <c r="I24" s="174">
        <v>41.73</v>
      </c>
      <c r="J24" s="173">
        <v>41.28</v>
      </c>
      <c r="K24" s="39">
        <v>-1.64</v>
      </c>
      <c r="L24" s="157">
        <f t="shared" si="0"/>
        <v>28</v>
      </c>
      <c r="M24" s="156">
        <f t="shared" si="1"/>
        <v>3390.1537530774235</v>
      </c>
      <c r="N24" s="156">
        <f t="shared" si="2"/>
        <v>4098.8219724195415</v>
      </c>
      <c r="O24" s="172">
        <f t="shared" si="3"/>
        <v>0.20903719151345923</v>
      </c>
      <c r="P24" s="158">
        <f t="shared" si="4"/>
        <v>0</v>
      </c>
      <c r="Q24" s="83" t="str">
        <f t="shared" si="5"/>
        <v>Large</v>
      </c>
      <c r="R24" s="166">
        <f t="shared" si="6"/>
        <v>2.2775528646428161E-2</v>
      </c>
    </row>
    <row r="25" spans="1:18" ht="14">
      <c r="A25" s="167">
        <v>15</v>
      </c>
      <c r="B25" s="48" t="s">
        <v>99</v>
      </c>
      <c r="C25" s="77" t="s">
        <v>73</v>
      </c>
      <c r="D25" s="77" t="s">
        <v>12</v>
      </c>
      <c r="E25" s="78">
        <v>106.8338381380087</v>
      </c>
      <c r="F25" s="79">
        <v>40291</v>
      </c>
      <c r="G25" s="80">
        <v>65.040000000000006</v>
      </c>
      <c r="H25" s="173">
        <v>329020961069</v>
      </c>
      <c r="I25" s="174">
        <v>121.87</v>
      </c>
      <c r="J25" s="173">
        <v>121.37</v>
      </c>
      <c r="K25" s="39">
        <v>5.93</v>
      </c>
      <c r="L25" s="157">
        <f t="shared" si="0"/>
        <v>28</v>
      </c>
      <c r="M25" s="156">
        <f t="shared" si="1"/>
        <v>6976.472832496087</v>
      </c>
      <c r="N25" s="156">
        <f t="shared" si="2"/>
        <v>13019.839853879121</v>
      </c>
      <c r="O25" s="172">
        <f t="shared" si="3"/>
        <v>0.86624963165244628</v>
      </c>
      <c r="P25" s="158">
        <f t="shared" si="4"/>
        <v>20.551433389544691</v>
      </c>
      <c r="Q25" s="83" t="str">
        <f t="shared" si="5"/>
        <v>Large</v>
      </c>
      <c r="R25" s="166">
        <f t="shared" si="6"/>
        <v>7.2346088110015319E-2</v>
      </c>
    </row>
    <row r="26" spans="1:18" ht="14">
      <c r="A26" s="167">
        <v>16</v>
      </c>
      <c r="B26" s="48" t="s">
        <v>100</v>
      </c>
      <c r="C26" s="77" t="s">
        <v>150</v>
      </c>
      <c r="D26" s="77" t="s">
        <v>13</v>
      </c>
      <c r="E26" s="78">
        <v>138.82287360284383</v>
      </c>
      <c r="F26" s="79">
        <v>40291</v>
      </c>
      <c r="G26" s="80">
        <v>49.48</v>
      </c>
      <c r="H26" s="173">
        <v>6752919598</v>
      </c>
      <c r="I26" s="174">
        <v>40.76</v>
      </c>
      <c r="J26" s="173">
        <v>39.18</v>
      </c>
      <c r="K26" s="39">
        <v>3.11</v>
      </c>
      <c r="L26" s="157">
        <f t="shared" si="0"/>
        <v>28</v>
      </c>
      <c r="M26" s="156">
        <f t="shared" si="1"/>
        <v>6896.9557858687122</v>
      </c>
      <c r="N26" s="156">
        <f t="shared" si="2"/>
        <v>5658.4203280519141</v>
      </c>
      <c r="O26" s="172">
        <f t="shared" si="3"/>
        <v>-0.17957712014834923</v>
      </c>
      <c r="P26" s="158">
        <f t="shared" si="4"/>
        <v>13.106109324758842</v>
      </c>
      <c r="Q26" s="83" t="str">
        <f t="shared" si="5"/>
        <v>Medium</v>
      </c>
      <c r="R26" s="166">
        <f t="shared" si="6"/>
        <v>3.1441598376863278E-2</v>
      </c>
    </row>
    <row r="27" spans="1:18" ht="14">
      <c r="A27" s="167">
        <v>17</v>
      </c>
      <c r="B27" s="48" t="s">
        <v>122</v>
      </c>
      <c r="C27" s="77" t="s">
        <v>151</v>
      </c>
      <c r="D27" s="77" t="s">
        <v>12</v>
      </c>
      <c r="E27" s="78">
        <v>55.760080998811247</v>
      </c>
      <c r="F27" s="79">
        <v>40291</v>
      </c>
      <c r="G27" s="80">
        <v>35.46</v>
      </c>
      <c r="H27" s="173">
        <v>89250333937</v>
      </c>
      <c r="I27" s="174">
        <v>81.94</v>
      </c>
      <c r="J27" s="173">
        <v>80.89</v>
      </c>
      <c r="K27" s="39">
        <v>2.58</v>
      </c>
      <c r="L27" s="157">
        <f t="shared" si="0"/>
        <v>19.772524722178471</v>
      </c>
      <c r="M27" s="156">
        <f t="shared" si="1"/>
        <v>1997.0249969400254</v>
      </c>
      <c r="N27" s="156">
        <f t="shared" si="2"/>
        <v>4568.9810370425939</v>
      </c>
      <c r="O27" s="172">
        <f t="shared" si="3"/>
        <v>1.2878937639956889</v>
      </c>
      <c r="P27" s="158">
        <f t="shared" si="4"/>
        <v>31.759689922480618</v>
      </c>
      <c r="Q27" s="83" t="str">
        <f t="shared" si="5"/>
        <v>Large</v>
      </c>
      <c r="R27" s="166">
        <f t="shared" si="6"/>
        <v>2.5388016165221072E-2</v>
      </c>
    </row>
    <row r="28" spans="1:18" ht="14">
      <c r="A28" s="167">
        <v>18</v>
      </c>
      <c r="B28" s="48" t="s">
        <v>165</v>
      </c>
      <c r="C28" s="77" t="s">
        <v>152</v>
      </c>
      <c r="D28" s="77" t="s">
        <v>13</v>
      </c>
      <c r="E28" s="78">
        <v>137.87720293070907</v>
      </c>
      <c r="F28" s="79">
        <v>40291</v>
      </c>
      <c r="G28" s="80">
        <v>29.48</v>
      </c>
      <c r="H28" s="173">
        <v>8877882353</v>
      </c>
      <c r="I28" s="174">
        <v>30.01</v>
      </c>
      <c r="J28" s="173">
        <v>29.09</v>
      </c>
      <c r="K28" s="39">
        <v>1.99</v>
      </c>
      <c r="L28" s="157">
        <f t="shared" si="0"/>
        <v>28</v>
      </c>
      <c r="M28" s="156">
        <f t="shared" si="1"/>
        <v>4092.6199423973035</v>
      </c>
      <c r="N28" s="156">
        <f t="shared" si="2"/>
        <v>4137.6948599505795</v>
      </c>
      <c r="O28" s="172">
        <f t="shared" si="3"/>
        <v>1.1013707157687555E-2</v>
      </c>
      <c r="P28" s="158">
        <f t="shared" si="4"/>
        <v>15.080402010050252</v>
      </c>
      <c r="Q28" s="83" t="str">
        <f t="shared" si="5"/>
        <v>Medium</v>
      </c>
      <c r="R28" s="166">
        <f t="shared" si="6"/>
        <v>2.2991529870557911E-2</v>
      </c>
    </row>
    <row r="29" spans="1:18" ht="28">
      <c r="A29" s="167">
        <v>19</v>
      </c>
      <c r="B29" s="48" t="s">
        <v>101</v>
      </c>
      <c r="C29" s="77" t="s">
        <v>153</v>
      </c>
      <c r="D29" s="77" t="s">
        <v>9</v>
      </c>
      <c r="E29" s="78">
        <v>49.077463417474917</v>
      </c>
      <c r="F29" s="79">
        <v>40291</v>
      </c>
      <c r="G29" s="80">
        <v>23.54</v>
      </c>
      <c r="H29" s="173">
        <v>8600521944</v>
      </c>
      <c r="I29" s="174">
        <v>25.21</v>
      </c>
      <c r="J29" s="173">
        <v>25.11</v>
      </c>
      <c r="K29" s="39">
        <v>0.92</v>
      </c>
      <c r="L29" s="157">
        <f t="shared" si="0"/>
        <v>11.552834888473594</v>
      </c>
      <c r="M29" s="156">
        <f t="shared" si="1"/>
        <v>1166.836323735833</v>
      </c>
      <c r="N29" s="156">
        <f t="shared" si="2"/>
        <v>1237.2428527545426</v>
      </c>
      <c r="O29" s="172">
        <f t="shared" si="3"/>
        <v>6.0339678827695871E-2</v>
      </c>
      <c r="P29" s="158">
        <f t="shared" si="4"/>
        <v>27.402173913043477</v>
      </c>
      <c r="Q29" s="83" t="str">
        <f t="shared" si="5"/>
        <v>Medium</v>
      </c>
      <c r="R29" s="166">
        <f t="shared" si="6"/>
        <v>6.8748680047856668E-3</v>
      </c>
    </row>
    <row r="30" spans="1:18" ht="14">
      <c r="A30" s="167">
        <v>20</v>
      </c>
      <c r="B30" s="48" t="s">
        <v>102</v>
      </c>
      <c r="C30" s="77" t="s">
        <v>74</v>
      </c>
      <c r="D30" s="77" t="s">
        <v>14</v>
      </c>
      <c r="E30" s="78">
        <v>221.1568414428896</v>
      </c>
      <c r="F30" s="79">
        <v>40291</v>
      </c>
      <c r="G30" s="80">
        <v>10.48</v>
      </c>
      <c r="H30" s="173">
        <v>1172951869</v>
      </c>
      <c r="I30" s="174">
        <v>8.7200000000000006</v>
      </c>
      <c r="J30" s="173">
        <v>8.6999999999999993</v>
      </c>
      <c r="K30" s="39">
        <v>-2.54</v>
      </c>
      <c r="L30" s="157">
        <f t="shared" si="0"/>
        <v>23.177236983214829</v>
      </c>
      <c r="M30" s="156">
        <f t="shared" si="1"/>
        <v>2340.9009353046977</v>
      </c>
      <c r="N30" s="156">
        <f t="shared" si="2"/>
        <v>1928.4876573819975</v>
      </c>
      <c r="O30" s="172">
        <f t="shared" si="3"/>
        <v>-0.17617715970070277</v>
      </c>
      <c r="P30" s="158">
        <f t="shared" si="4"/>
        <v>0</v>
      </c>
      <c r="Q30" s="83" t="str">
        <f t="shared" si="5"/>
        <v>Small</v>
      </c>
      <c r="R30" s="166">
        <f t="shared" si="6"/>
        <v>1.0715841327223929E-2</v>
      </c>
    </row>
    <row r="31" spans="1:18" ht="14">
      <c r="A31" s="167">
        <v>21</v>
      </c>
      <c r="B31" s="48" t="s">
        <v>103</v>
      </c>
      <c r="C31" s="77" t="s">
        <v>75</v>
      </c>
      <c r="D31" s="77" t="s">
        <v>14</v>
      </c>
      <c r="E31" s="78">
        <v>218.68396835267012</v>
      </c>
      <c r="F31" s="79">
        <v>40291</v>
      </c>
      <c r="G31" s="80">
        <v>19.21</v>
      </c>
      <c r="H31" s="173">
        <v>34041939137</v>
      </c>
      <c r="I31" s="174">
        <v>17.25</v>
      </c>
      <c r="J31" s="173">
        <v>16.96</v>
      </c>
      <c r="K31" s="39">
        <v>1.41</v>
      </c>
      <c r="L31" s="157">
        <f t="shared" si="0"/>
        <v>28</v>
      </c>
      <c r="M31" s="156">
        <f t="shared" si="1"/>
        <v>4228.9190320547932</v>
      </c>
      <c r="N31" s="156">
        <f t="shared" si="2"/>
        <v>3772.2984540835596</v>
      </c>
      <c r="O31" s="172">
        <f t="shared" si="3"/>
        <v>-0.10797572015687561</v>
      </c>
      <c r="P31" s="158">
        <f t="shared" si="4"/>
        <v>12.23404255319149</v>
      </c>
      <c r="Q31" s="83" t="str">
        <f t="shared" si="5"/>
        <v>Large</v>
      </c>
      <c r="R31" s="166">
        <f t="shared" si="6"/>
        <v>2.0961166911365112E-2</v>
      </c>
    </row>
    <row r="32" spans="1:18" ht="14">
      <c r="A32" s="167">
        <v>22</v>
      </c>
      <c r="B32" s="48" t="s">
        <v>167</v>
      </c>
      <c r="C32" s="77" t="s">
        <v>154</v>
      </c>
      <c r="D32" s="77" t="s">
        <v>10</v>
      </c>
      <c r="E32" s="78">
        <v>187.00795656248462</v>
      </c>
      <c r="F32" s="79">
        <v>40291</v>
      </c>
      <c r="G32" s="80">
        <v>30.96</v>
      </c>
      <c r="H32" s="173">
        <v>502598539492</v>
      </c>
      <c r="I32" s="174">
        <v>65.5</v>
      </c>
      <c r="J32" s="173">
        <v>65.040000000000006</v>
      </c>
      <c r="K32" s="39">
        <v>2.13</v>
      </c>
      <c r="L32" s="157">
        <f t="shared" si="0"/>
        <v>28</v>
      </c>
      <c r="M32" s="156">
        <f t="shared" si="1"/>
        <v>5817.7663351745241</v>
      </c>
      <c r="N32" s="156">
        <f t="shared" si="2"/>
        <v>12249.021154842743</v>
      </c>
      <c r="O32" s="172">
        <f t="shared" si="3"/>
        <v>1.1054508636389384</v>
      </c>
      <c r="P32" s="158">
        <f t="shared" si="4"/>
        <v>30.751173708920188</v>
      </c>
      <c r="Q32" s="83" t="str">
        <f t="shared" si="5"/>
        <v>Large</v>
      </c>
      <c r="R32" s="166">
        <f t="shared" si="6"/>
        <v>6.8062954204899107E-2</v>
      </c>
    </row>
    <row r="33" spans="1:18" ht="14">
      <c r="A33" s="167">
        <v>23</v>
      </c>
      <c r="B33" s="77" t="s">
        <v>104</v>
      </c>
      <c r="C33" s="77" t="s">
        <v>76</v>
      </c>
      <c r="D33" s="77" t="s">
        <v>8</v>
      </c>
      <c r="E33" s="78">
        <v>47.090183764072499</v>
      </c>
      <c r="F33" s="79">
        <v>40291</v>
      </c>
      <c r="G33" s="80">
        <v>22.61</v>
      </c>
      <c r="H33" s="173">
        <v>3412743063</v>
      </c>
      <c r="I33" s="174">
        <v>11.77</v>
      </c>
      <c r="J33" s="173">
        <v>11.96</v>
      </c>
      <c r="K33" s="39">
        <v>-3.64</v>
      </c>
      <c r="L33" s="157">
        <f t="shared" si="0"/>
        <v>10.647090549056792</v>
      </c>
      <c r="M33" s="156">
        <f t="shared" si="1"/>
        <v>1075.356145454736</v>
      </c>
      <c r="N33" s="156">
        <f t="shared" si="2"/>
        <v>554.2514629031333</v>
      </c>
      <c r="O33" s="172">
        <f t="shared" si="3"/>
        <v>-0.48458799882641956</v>
      </c>
      <c r="P33" s="158">
        <f t="shared" si="4"/>
        <v>0</v>
      </c>
      <c r="Q33" s="83" t="str">
        <f t="shared" si="5"/>
        <v>Small</v>
      </c>
      <c r="R33" s="166">
        <f t="shared" si="6"/>
        <v>3.0797556360378908E-3</v>
      </c>
    </row>
    <row r="34" spans="1:18" ht="14">
      <c r="A34" s="167">
        <v>24</v>
      </c>
      <c r="B34" s="77" t="s">
        <v>105</v>
      </c>
      <c r="C34" s="77" t="s">
        <v>77</v>
      </c>
      <c r="D34" s="77" t="s">
        <v>10</v>
      </c>
      <c r="E34" s="78">
        <v>244.9869499897205</v>
      </c>
      <c r="F34" s="79">
        <v>40291</v>
      </c>
      <c r="G34" s="80">
        <v>14.32</v>
      </c>
      <c r="H34" s="173">
        <v>4504830000</v>
      </c>
      <c r="I34" s="174">
        <v>35.89</v>
      </c>
      <c r="J34" s="173">
        <v>36.299999999999997</v>
      </c>
      <c r="K34" s="39">
        <v>1.49</v>
      </c>
      <c r="L34" s="157">
        <f t="shared" si="0"/>
        <v>28</v>
      </c>
      <c r="M34" s="156">
        <f t="shared" si="1"/>
        <v>3536.2131238527977</v>
      </c>
      <c r="N34" s="156">
        <f t="shared" si="2"/>
        <v>8792.5816351310696</v>
      </c>
      <c r="O34" s="172">
        <f t="shared" si="3"/>
        <v>1.4864399647811155</v>
      </c>
      <c r="P34" s="158">
        <f t="shared" si="4"/>
        <v>24.087248322147651</v>
      </c>
      <c r="Q34" s="83" t="str">
        <f t="shared" si="5"/>
        <v>Small</v>
      </c>
      <c r="R34" s="166">
        <f t="shared" si="6"/>
        <v>4.8856890163681485E-2</v>
      </c>
    </row>
    <row r="35" spans="1:18" ht="14">
      <c r="A35" s="167">
        <v>25</v>
      </c>
      <c r="B35" s="77" t="s">
        <v>106</v>
      </c>
      <c r="C35" s="77" t="s">
        <v>155</v>
      </c>
      <c r="D35" s="77" t="s">
        <v>8</v>
      </c>
      <c r="E35" s="78">
        <v>66.588343226705632</v>
      </c>
      <c r="F35" s="79">
        <v>40291</v>
      </c>
      <c r="G35" s="80">
        <v>43.63</v>
      </c>
      <c r="H35" s="173">
        <v>1279686860</v>
      </c>
      <c r="I35" s="174">
        <v>5.31</v>
      </c>
      <c r="J35" s="173">
        <v>5.23</v>
      </c>
      <c r="K35" s="39">
        <v>-3.82</v>
      </c>
      <c r="L35" s="157">
        <f t="shared" si="0"/>
        <v>28</v>
      </c>
      <c r="M35" s="156">
        <f t="shared" si="1"/>
        <v>2933.2494149811669</v>
      </c>
      <c r="N35" s="156">
        <f t="shared" si="2"/>
        <v>353.58410253380686</v>
      </c>
      <c r="O35" s="172">
        <f t="shared" si="3"/>
        <v>-0.87945651647353107</v>
      </c>
      <c r="P35" s="158">
        <f t="shared" si="4"/>
        <v>0</v>
      </c>
      <c r="Q35" s="83" t="str">
        <f t="shared" si="5"/>
        <v>Small</v>
      </c>
      <c r="R35" s="166">
        <f t="shared" si="6"/>
        <v>1.9647266727777818E-3</v>
      </c>
    </row>
    <row r="36" spans="1:18" ht="14">
      <c r="A36" s="167">
        <v>26</v>
      </c>
      <c r="B36" s="77" t="s">
        <v>107</v>
      </c>
      <c r="C36" s="77" t="s">
        <v>78</v>
      </c>
      <c r="D36" s="77" t="s">
        <v>14</v>
      </c>
      <c r="E36" s="78">
        <v>10.078341846905335</v>
      </c>
      <c r="F36" s="79">
        <v>40291</v>
      </c>
      <c r="G36" s="80">
        <v>20.86</v>
      </c>
      <c r="H36" s="173">
        <v>22579661595</v>
      </c>
      <c r="I36" s="174">
        <v>39.409999999999997</v>
      </c>
      <c r="J36" s="173">
        <v>38.869999999999997</v>
      </c>
      <c r="K36" s="39">
        <v>1.76</v>
      </c>
      <c r="L36" s="157">
        <f t="shared" si="0"/>
        <v>2.1023421092644528</v>
      </c>
      <c r="M36" s="156">
        <f t="shared" si="1"/>
        <v>212.33655303570973</v>
      </c>
      <c r="N36" s="156">
        <f t="shared" si="2"/>
        <v>397.18745218653925</v>
      </c>
      <c r="O36" s="172">
        <f t="shared" si="3"/>
        <v>0.87055618313509209</v>
      </c>
      <c r="P36" s="158">
        <f t="shared" si="4"/>
        <v>22.392045454545453</v>
      </c>
      <c r="Q36" s="83" t="str">
        <f t="shared" si="5"/>
        <v>Large</v>
      </c>
      <c r="R36" s="166">
        <f t="shared" si="6"/>
        <v>2.207013199437979E-3</v>
      </c>
    </row>
    <row r="37" spans="1:18" ht="14">
      <c r="A37" s="167">
        <v>27</v>
      </c>
      <c r="B37" s="77" t="s">
        <v>108</v>
      </c>
      <c r="C37" s="77" t="s">
        <v>156</v>
      </c>
      <c r="D37" s="77" t="s">
        <v>13</v>
      </c>
      <c r="E37" s="78">
        <v>173.13725820334196</v>
      </c>
      <c r="F37" s="79">
        <v>40291</v>
      </c>
      <c r="G37" s="80">
        <v>48.01</v>
      </c>
      <c r="H37" s="173">
        <v>49645861156</v>
      </c>
      <c r="I37" s="174">
        <v>78.17</v>
      </c>
      <c r="J37" s="173">
        <v>76.900000000000006</v>
      </c>
      <c r="K37" s="39">
        <v>3.46</v>
      </c>
      <c r="L37" s="157">
        <f t="shared" si="0"/>
        <v>28</v>
      </c>
      <c r="M37" s="156">
        <f t="shared" si="1"/>
        <v>8340.3197663424471</v>
      </c>
      <c r="N37" s="156">
        <f t="shared" si="2"/>
        <v>13534.139473755242</v>
      </c>
      <c r="O37" s="172">
        <f t="shared" si="3"/>
        <v>0.62273628025301553</v>
      </c>
      <c r="P37" s="158">
        <f t="shared" si="4"/>
        <v>22.592485549132949</v>
      </c>
      <c r="Q37" s="83" t="str">
        <f t="shared" si="5"/>
        <v>Large</v>
      </c>
      <c r="R37" s="166">
        <f t="shared" si="6"/>
        <v>7.5203847194004345E-2</v>
      </c>
    </row>
    <row r="38" spans="1:18" ht="14">
      <c r="A38" s="167">
        <v>28</v>
      </c>
      <c r="B38" s="77" t="s">
        <v>109</v>
      </c>
      <c r="C38" s="77" t="s">
        <v>157</v>
      </c>
      <c r="D38" s="77" t="s">
        <v>13</v>
      </c>
      <c r="E38" s="78">
        <v>100.89191780599944</v>
      </c>
      <c r="F38" s="79">
        <v>40291</v>
      </c>
      <c r="G38" s="80">
        <v>56.53</v>
      </c>
      <c r="H38" s="173">
        <v>224654982481</v>
      </c>
      <c r="I38" s="174">
        <v>74.8</v>
      </c>
      <c r="J38" s="173">
        <v>74.069999999999993</v>
      </c>
      <c r="K38" s="39">
        <v>4.38</v>
      </c>
      <c r="L38" s="157">
        <f t="shared" si="0"/>
        <v>28</v>
      </c>
      <c r="M38" s="156">
        <f t="shared" si="1"/>
        <v>5731.4201135731482</v>
      </c>
      <c r="N38" s="156">
        <f t="shared" si="2"/>
        <v>7546.7154518887583</v>
      </c>
      <c r="O38" s="172">
        <f t="shared" si="3"/>
        <v>0.31672697208439282</v>
      </c>
      <c r="P38" s="158">
        <f t="shared" si="4"/>
        <v>17.077625570776256</v>
      </c>
      <c r="Q38" s="83" t="str">
        <f t="shared" si="5"/>
        <v>Large</v>
      </c>
      <c r="R38" s="166">
        <f t="shared" si="6"/>
        <v>4.1934105730255258E-2</v>
      </c>
    </row>
    <row r="39" spans="1:18" ht="28">
      <c r="A39" s="167">
        <v>29</v>
      </c>
      <c r="B39" s="77" t="s">
        <v>110</v>
      </c>
      <c r="C39" s="77" t="s">
        <v>79</v>
      </c>
      <c r="D39" s="77" t="s">
        <v>15</v>
      </c>
      <c r="E39" s="78">
        <v>42.4477934663323</v>
      </c>
      <c r="F39" s="79">
        <v>40291</v>
      </c>
      <c r="G39" s="80">
        <v>59.24</v>
      </c>
      <c r="H39" s="173">
        <v>4953343427</v>
      </c>
      <c r="I39" s="174">
        <v>30.51</v>
      </c>
      <c r="J39" s="173">
        <v>28.42</v>
      </c>
      <c r="K39" s="39">
        <v>-2.81</v>
      </c>
      <c r="L39" s="157">
        <f t="shared" si="0"/>
        <v>25.146072849455255</v>
      </c>
      <c r="M39" s="156">
        <f t="shared" si="1"/>
        <v>2539.7533577949807</v>
      </c>
      <c r="N39" s="156">
        <f t="shared" si="2"/>
        <v>1295.0821786577985</v>
      </c>
      <c r="O39" s="172">
        <f t="shared" si="3"/>
        <v>-0.49007561120730575</v>
      </c>
      <c r="P39" s="158">
        <f t="shared" si="4"/>
        <v>0</v>
      </c>
      <c r="Q39" s="83" t="str">
        <f t="shared" si="5"/>
        <v>Small</v>
      </c>
      <c r="R39" s="166">
        <f t="shared" si="6"/>
        <v>7.1962582073521091E-3</v>
      </c>
    </row>
    <row r="40" spans="1:18" ht="28">
      <c r="A40" s="167">
        <v>30</v>
      </c>
      <c r="B40" s="77" t="s">
        <v>50</v>
      </c>
      <c r="C40" s="77" t="s">
        <v>158</v>
      </c>
      <c r="D40" s="77" t="s">
        <v>11</v>
      </c>
      <c r="E40" s="78">
        <v>47.648528303435441</v>
      </c>
      <c r="F40" s="79">
        <v>40291</v>
      </c>
      <c r="G40" s="80">
        <v>13.11</v>
      </c>
      <c r="H40" s="173">
        <v>50166800</v>
      </c>
      <c r="I40" s="174">
        <v>2.74</v>
      </c>
      <c r="J40" s="173">
        <v>2.76</v>
      </c>
      <c r="K40" s="39">
        <v>-89.3</v>
      </c>
      <c r="L40" s="157">
        <f t="shared" si="0"/>
        <v>6.2467220605803861</v>
      </c>
      <c r="M40" s="156">
        <f t="shared" si="1"/>
        <v>630.91892811861896</v>
      </c>
      <c r="N40" s="156">
        <f t="shared" si="2"/>
        <v>130.55696755141312</v>
      </c>
      <c r="O40" s="172">
        <f t="shared" si="3"/>
        <v>-0.7930685517064292</v>
      </c>
      <c r="P40" s="158">
        <f t="shared" si="4"/>
        <v>0</v>
      </c>
      <c r="Q40" s="83" t="str">
        <f t="shared" si="5"/>
        <v>Small</v>
      </c>
      <c r="R40" s="166">
        <f t="shared" si="6"/>
        <v>7.2545330694193024E-4</v>
      </c>
    </row>
    <row r="41" spans="1:18" ht="14">
      <c r="A41" s="167">
        <v>31</v>
      </c>
      <c r="B41" s="77" t="s">
        <v>124</v>
      </c>
      <c r="C41" s="77" t="s">
        <v>125</v>
      </c>
      <c r="D41" s="77" t="s">
        <v>10</v>
      </c>
      <c r="E41" s="78">
        <v>53.988839030363522</v>
      </c>
      <c r="F41" s="79">
        <v>40291</v>
      </c>
      <c r="G41" s="80">
        <v>17.64</v>
      </c>
      <c r="H41" s="173">
        <v>44954899199</v>
      </c>
      <c r="I41" s="174">
        <v>47.67</v>
      </c>
      <c r="J41" s="173">
        <v>47</v>
      </c>
      <c r="K41" s="39">
        <v>-0.23</v>
      </c>
      <c r="L41" s="157">
        <f t="shared" si="0"/>
        <v>9.5236312049561249</v>
      </c>
      <c r="M41" s="156">
        <f t="shared" si="1"/>
        <v>961.88675170056865</v>
      </c>
      <c r="N41" s="156">
        <f t="shared" si="2"/>
        <v>2573.6479565774293</v>
      </c>
      <c r="O41" s="172">
        <f t="shared" si="3"/>
        <v>1.6756247053276758</v>
      </c>
      <c r="P41" s="158">
        <f t="shared" si="4"/>
        <v>0</v>
      </c>
      <c r="Q41" s="83" t="str">
        <f t="shared" si="5"/>
        <v>Large</v>
      </c>
      <c r="R41" s="166">
        <f t="shared" si="6"/>
        <v>1.4300741324036893E-2</v>
      </c>
    </row>
    <row r="42" spans="1:18">
      <c r="A42" s="167"/>
      <c r="B42" s="167"/>
      <c r="C42" s="167"/>
      <c r="D42" s="167"/>
      <c r="E42" s="167"/>
      <c r="F42" s="167"/>
      <c r="G42" s="23"/>
      <c r="H42" s="167"/>
      <c r="I42" s="167"/>
      <c r="J42" s="23"/>
      <c r="K42" s="23"/>
      <c r="L42" s="71"/>
      <c r="M42" s="24"/>
      <c r="N42" s="24"/>
      <c r="O42" s="91"/>
      <c r="P42" s="23"/>
      <c r="Q42" s="167"/>
      <c r="R42" s="23"/>
    </row>
    <row r="43" spans="1:18">
      <c r="A43" s="167"/>
      <c r="B43" s="167"/>
      <c r="C43" s="167"/>
      <c r="D43" s="167"/>
      <c r="E43" s="167"/>
      <c r="F43" s="167"/>
      <c r="G43" s="23"/>
      <c r="H43" s="167"/>
      <c r="I43" s="167"/>
      <c r="J43" s="23"/>
      <c r="K43" s="23"/>
      <c r="L43" s="167"/>
      <c r="M43" s="167"/>
      <c r="N43" s="167"/>
      <c r="O43" s="23"/>
      <c r="P43" s="23"/>
      <c r="Q43" s="167"/>
      <c r="R43" s="23"/>
    </row>
    <row r="44" spans="1:18">
      <c r="A44" s="167"/>
      <c r="B44" s="136" t="s">
        <v>190</v>
      </c>
      <c r="C44" s="167"/>
      <c r="D44" s="167"/>
      <c r="E44" s="167"/>
      <c r="F44" s="167"/>
      <c r="G44" s="23"/>
      <c r="H44" s="167"/>
      <c r="I44" s="167"/>
      <c r="J44" s="23"/>
      <c r="K44" s="23"/>
      <c r="L44" s="167"/>
      <c r="M44" s="167"/>
      <c r="N44" s="167"/>
      <c r="O44" s="23"/>
      <c r="P44" s="23"/>
      <c r="Q44" s="167"/>
      <c r="R44" s="23"/>
    </row>
    <row r="45" spans="1:18" ht="16">
      <c r="A45" s="72"/>
      <c r="B45" s="31" t="s">
        <v>27</v>
      </c>
      <c r="C45" s="32"/>
      <c r="D45" s="167"/>
      <c r="E45" s="167"/>
      <c r="F45" s="167"/>
      <c r="G45" s="23"/>
      <c r="H45" s="167"/>
      <c r="I45" s="167"/>
      <c r="J45" s="23"/>
      <c r="K45" s="23"/>
      <c r="L45" s="167"/>
      <c r="M45" s="167"/>
      <c r="N45" s="167"/>
      <c r="O45" s="23"/>
      <c r="P45" s="23"/>
      <c r="Q45" s="167"/>
      <c r="R45" s="23"/>
    </row>
    <row r="46" spans="1:18">
      <c r="A46" s="73" t="s">
        <v>143</v>
      </c>
      <c r="B46" s="138" t="s">
        <v>28</v>
      </c>
      <c r="C46" s="139" t="s">
        <v>28</v>
      </c>
      <c r="D46" s="167"/>
      <c r="E46" s="167"/>
      <c r="F46" s="167"/>
      <c r="G46" s="23"/>
      <c r="H46" s="167"/>
      <c r="I46" s="167"/>
      <c r="J46" s="23"/>
      <c r="K46" s="23"/>
      <c r="L46" s="167"/>
      <c r="M46" s="167"/>
      <c r="N46" s="167"/>
      <c r="O46" s="171">
        <f>((SUM(N11:N41)-SUM(M11:M41))/SUM(M11:M41))</f>
        <v>0.39999991041200372</v>
      </c>
      <c r="P46" s="23"/>
      <c r="Q46" s="167"/>
      <c r="R46" s="23"/>
    </row>
    <row r="47" spans="1:18">
      <c r="A47" s="73" t="s">
        <v>141</v>
      </c>
      <c r="B47" s="33" t="s">
        <v>29</v>
      </c>
      <c r="C47" s="134" t="s">
        <v>29</v>
      </c>
      <c r="D47" s="167"/>
      <c r="E47" s="167"/>
      <c r="F47" s="167"/>
      <c r="G47" s="160">
        <f>AVERAGE(G11:G41)</f>
        <v>42.089032258064513</v>
      </c>
      <c r="H47" s="167"/>
      <c r="I47" s="167"/>
      <c r="J47" s="23"/>
      <c r="K47" s="23"/>
      <c r="L47" s="167"/>
      <c r="M47" s="167"/>
      <c r="N47" s="160">
        <f>AVERAGE(N11:N41)</f>
        <v>5805.3565157168205</v>
      </c>
      <c r="O47" s="163">
        <f>AVERAGE(O11:O41)</f>
        <v>0.36314769781635847</v>
      </c>
      <c r="P47" s="137">
        <f>AVERAGE(P11:P41)</f>
        <v>19.873528105364915</v>
      </c>
      <c r="Q47" s="167"/>
      <c r="R47" s="23"/>
    </row>
    <row r="48" spans="1:18">
      <c r="A48" s="73" t="s">
        <v>142</v>
      </c>
      <c r="B48" s="140" t="s">
        <v>30</v>
      </c>
      <c r="C48" s="141" t="s">
        <v>30</v>
      </c>
      <c r="D48" s="167"/>
      <c r="E48" s="167"/>
      <c r="F48" s="167"/>
      <c r="G48" s="161">
        <f>MAX(G11:G41)</f>
        <v>126.99</v>
      </c>
      <c r="H48" s="167"/>
      <c r="I48" s="167"/>
      <c r="J48" s="161">
        <f>MAX(J11:J41)</f>
        <v>164.4</v>
      </c>
      <c r="K48" s="161">
        <f>MAX(K11:K41)</f>
        <v>12.38</v>
      </c>
      <c r="L48" s="49"/>
      <c r="M48" s="49"/>
      <c r="N48" s="161">
        <f>MAX(N11:N41)</f>
        <v>18993.215978172557</v>
      </c>
      <c r="O48" s="164">
        <f>MAX(O11:O41)</f>
        <v>1.6756247053276758</v>
      </c>
      <c r="P48" s="142">
        <f>MAX(P11:P41)</f>
        <v>110.02702702702703</v>
      </c>
      <c r="Q48" s="167"/>
      <c r="R48" s="143">
        <f>MAX(R11:R41)</f>
        <v>0.1055377709765016</v>
      </c>
    </row>
    <row r="49" spans="1:18">
      <c r="A49" s="167"/>
      <c r="B49" s="144" t="s">
        <v>31</v>
      </c>
      <c r="C49" s="145" t="s">
        <v>184</v>
      </c>
      <c r="D49" s="167"/>
      <c r="E49" s="167"/>
      <c r="F49" s="167"/>
      <c r="G49" s="162">
        <f>MIN(G11:G41)</f>
        <v>10.48</v>
      </c>
      <c r="H49" s="167"/>
      <c r="I49" s="167"/>
      <c r="J49" s="162">
        <f>MIN(J11:J41)</f>
        <v>2.76</v>
      </c>
      <c r="K49" s="162">
        <f>MIN(K11:K41)</f>
        <v>-89.3</v>
      </c>
      <c r="L49" s="49"/>
      <c r="M49" s="49"/>
      <c r="N49" s="162">
        <f>MIN(N11:N41)</f>
        <v>130.55696755141312</v>
      </c>
      <c r="O49" s="165">
        <f>MIN(O11:O41)</f>
        <v>-0.87945651647353107</v>
      </c>
      <c r="P49" s="147">
        <f>MIN(P11:P41)</f>
        <v>0</v>
      </c>
      <c r="Q49" s="167"/>
      <c r="R49" s="146">
        <f>MIN(R11:R41)</f>
        <v>7.2545330694193024E-4</v>
      </c>
    </row>
    <row r="50" spans="1:18">
      <c r="A50" s="167"/>
      <c r="B50" s="167"/>
      <c r="C50" s="167"/>
      <c r="D50" s="167"/>
      <c r="E50" s="167"/>
      <c r="F50" s="167"/>
      <c r="G50" s="167"/>
      <c r="H50" s="82" t="s">
        <v>43</v>
      </c>
      <c r="I50" s="167"/>
      <c r="J50" s="167"/>
      <c r="K50" s="167"/>
      <c r="L50" s="167"/>
      <c r="M50" s="167"/>
      <c r="N50" s="167"/>
      <c r="O50" s="167"/>
      <c r="P50" s="167"/>
      <c r="Q50" s="167"/>
      <c r="R50" s="167"/>
    </row>
    <row r="51" spans="1:18">
      <c r="A51" s="49"/>
      <c r="B51" s="49"/>
      <c r="C51" s="49"/>
      <c r="D51" s="49"/>
      <c r="E51" s="49"/>
      <c r="F51" s="49"/>
      <c r="G51" s="49"/>
      <c r="H51" s="49"/>
      <c r="I51" s="49"/>
      <c r="J51" s="49"/>
      <c r="K51" s="49"/>
      <c r="L51" s="49"/>
      <c r="M51" s="49"/>
      <c r="N51" s="49"/>
      <c r="O51" s="49"/>
      <c r="P51" s="49"/>
      <c r="Q51" s="49"/>
      <c r="R51" s="49"/>
    </row>
    <row r="52" spans="1:18">
      <c r="A52" s="1" t="s">
        <v>272</v>
      </c>
      <c r="B52" s="241"/>
      <c r="C52" s="241"/>
      <c r="D52" s="241"/>
      <c r="E52" s="241"/>
      <c r="F52" s="241"/>
      <c r="G52" s="241"/>
    </row>
    <row r="53" spans="1:18">
      <c r="A53" s="1" t="s">
        <v>273</v>
      </c>
      <c r="B53" s="241"/>
      <c r="C53" s="241"/>
      <c r="D53" s="241"/>
      <c r="E53" s="241"/>
      <c r="F53" s="241"/>
      <c r="G53" s="241"/>
      <c r="H53" s="317" t="s">
        <v>389</v>
      </c>
      <c r="I53" s="317"/>
      <c r="J53" s="317"/>
      <c r="K53" s="317"/>
    </row>
    <row r="54" spans="1:18">
      <c r="A54" s="1" t="s">
        <v>274</v>
      </c>
      <c r="B54" s="241"/>
      <c r="C54" s="241"/>
      <c r="D54" s="241"/>
      <c r="E54" s="241"/>
      <c r="F54" s="241"/>
      <c r="G54" s="241"/>
      <c r="H54" s="317"/>
      <c r="I54" s="317"/>
      <c r="J54" s="317"/>
      <c r="K54" s="317"/>
    </row>
    <row r="55" spans="1:18">
      <c r="A55" s="1" t="s">
        <v>275</v>
      </c>
      <c r="B55" s="241"/>
      <c r="C55" s="241"/>
      <c r="D55" s="241"/>
      <c r="E55" s="241"/>
      <c r="F55" s="241"/>
      <c r="G55" s="241"/>
    </row>
    <row r="56" spans="1:18">
      <c r="A56" s="1" t="s">
        <v>276</v>
      </c>
      <c r="B56" s="241"/>
      <c r="C56" s="241"/>
      <c r="D56" s="241"/>
      <c r="E56" s="241"/>
      <c r="F56" s="241"/>
      <c r="G56" s="241"/>
    </row>
    <row r="57" spans="1:18">
      <c r="A57" s="1"/>
      <c r="B57" s="241" t="s">
        <v>277</v>
      </c>
      <c r="C57" s="241"/>
      <c r="D57" s="241"/>
      <c r="E57" s="241"/>
      <c r="F57" s="241"/>
      <c r="G57" s="241"/>
    </row>
    <row r="58" spans="1:18">
      <c r="A58" s="1"/>
      <c r="B58" s="241" t="s">
        <v>278</v>
      </c>
      <c r="C58" s="241"/>
      <c r="D58" s="241"/>
      <c r="E58" s="241"/>
      <c r="F58" s="241"/>
      <c r="G58" s="241"/>
    </row>
    <row r="59" spans="1:18">
      <c r="A59" s="1"/>
      <c r="B59" s="241" t="s">
        <v>279</v>
      </c>
      <c r="C59" s="241"/>
      <c r="D59" s="241"/>
      <c r="E59" s="241"/>
      <c r="F59" s="241"/>
      <c r="G59" s="241"/>
    </row>
    <row r="60" spans="1:18">
      <c r="A60" s="1" t="s">
        <v>280</v>
      </c>
      <c r="B60" s="241"/>
      <c r="C60" s="241"/>
      <c r="D60" s="241"/>
      <c r="E60" s="241"/>
      <c r="F60" s="241"/>
      <c r="G60" s="241"/>
    </row>
    <row r="61" spans="1:18">
      <c r="A61" s="241"/>
      <c r="B61" s="241" t="s">
        <v>281</v>
      </c>
      <c r="C61" s="241"/>
      <c r="D61" s="241"/>
      <c r="E61" s="241"/>
      <c r="F61" s="241"/>
      <c r="G61" s="241"/>
    </row>
    <row r="62" spans="1:18">
      <c r="A62" s="241"/>
      <c r="B62" s="241" t="s">
        <v>282</v>
      </c>
      <c r="C62" s="241"/>
      <c r="D62" s="241"/>
      <c r="E62" s="241"/>
      <c r="F62" s="241"/>
      <c r="G62" s="241"/>
    </row>
    <row r="63" spans="1:18">
      <c r="A63" s="241"/>
      <c r="B63" s="241" t="s">
        <v>283</v>
      </c>
      <c r="C63" s="241"/>
      <c r="D63" s="241"/>
      <c r="E63" s="241"/>
      <c r="F63" s="241"/>
      <c r="G63" s="241"/>
    </row>
    <row r="64" spans="1:18">
      <c r="A64" s="241"/>
      <c r="B64" s="241"/>
      <c r="C64" s="241"/>
      <c r="D64" s="241"/>
      <c r="E64" s="241"/>
      <c r="F64" s="241"/>
      <c r="G64" s="241"/>
    </row>
    <row r="65" spans="1:7" ht="14" thickBot="1">
      <c r="A65" s="241" t="s">
        <v>284</v>
      </c>
      <c r="B65" s="241"/>
      <c r="C65" s="241"/>
      <c r="D65" s="241"/>
      <c r="E65" s="241"/>
      <c r="F65" s="241"/>
      <c r="G65" s="241"/>
    </row>
    <row r="66" spans="1:7" ht="14" thickBot="1">
      <c r="A66" s="241"/>
      <c r="B66" s="307" t="s">
        <v>285</v>
      </c>
      <c r="C66" s="307" t="s">
        <v>136</v>
      </c>
      <c r="D66" s="307" t="s">
        <v>286</v>
      </c>
      <c r="E66" s="307" t="s">
        <v>287</v>
      </c>
      <c r="F66" s="241"/>
      <c r="G66" s="241"/>
    </row>
    <row r="67" spans="1:7" ht="14" thickBot="1">
      <c r="A67" s="241"/>
      <c r="B67" s="306" t="s">
        <v>242</v>
      </c>
      <c r="C67" s="306" t="s">
        <v>237</v>
      </c>
      <c r="D67" s="309">
        <v>0.29893658374748755</v>
      </c>
      <c r="E67" s="309">
        <v>0.39999991041200372</v>
      </c>
      <c r="F67" s="241"/>
      <c r="G67" s="241"/>
    </row>
    <row r="68" spans="1:7">
      <c r="A68" s="241"/>
      <c r="B68" s="241"/>
      <c r="C68" s="241"/>
      <c r="D68" s="241"/>
      <c r="E68" s="241"/>
      <c r="F68" s="241"/>
      <c r="G68" s="241"/>
    </row>
    <row r="69" spans="1:7">
      <c r="A69" s="241"/>
      <c r="B69" s="241"/>
      <c r="C69" s="241"/>
      <c r="D69" s="241"/>
      <c r="E69" s="241"/>
      <c r="F69" s="241"/>
      <c r="G69" s="241"/>
    </row>
    <row r="70" spans="1:7" ht="14" thickBot="1">
      <c r="A70" s="241" t="s">
        <v>288</v>
      </c>
      <c r="B70" s="241"/>
      <c r="C70" s="241"/>
      <c r="D70" s="241"/>
      <c r="E70" s="241"/>
      <c r="F70" s="241"/>
      <c r="G70" s="241"/>
    </row>
    <row r="71" spans="1:7" ht="14" thickBot="1">
      <c r="A71" s="241"/>
      <c r="B71" s="307" t="s">
        <v>285</v>
      </c>
      <c r="C71" s="307" t="s">
        <v>136</v>
      </c>
      <c r="D71" s="307" t="s">
        <v>286</v>
      </c>
      <c r="E71" s="307" t="s">
        <v>287</v>
      </c>
      <c r="F71" s="307" t="s">
        <v>289</v>
      </c>
      <c r="G71" s="241"/>
    </row>
    <row r="72" spans="1:7">
      <c r="A72" s="241"/>
      <c r="B72" s="308" t="s">
        <v>295</v>
      </c>
      <c r="C72" s="308" t="s">
        <v>296</v>
      </c>
      <c r="D72" s="310">
        <v>100</v>
      </c>
      <c r="E72" s="310">
        <v>104.50236934415528</v>
      </c>
      <c r="F72" s="308" t="s">
        <v>297</v>
      </c>
      <c r="G72" s="241"/>
    </row>
    <row r="73" spans="1:7">
      <c r="A73" s="241"/>
      <c r="B73" s="308" t="s">
        <v>238</v>
      </c>
      <c r="C73" s="308" t="s">
        <v>296</v>
      </c>
      <c r="D73" s="310">
        <v>100</v>
      </c>
      <c r="E73" s="310">
        <v>116.72330370066715</v>
      </c>
      <c r="F73" s="308" t="s">
        <v>297</v>
      </c>
      <c r="G73" s="241"/>
    </row>
    <row r="74" spans="1:7">
      <c r="A74" s="241"/>
      <c r="B74" s="308" t="s">
        <v>298</v>
      </c>
      <c r="C74" s="308" t="s">
        <v>299</v>
      </c>
      <c r="D74" s="310">
        <v>100</v>
      </c>
      <c r="E74" s="310">
        <v>107.42759159800958</v>
      </c>
      <c r="F74" s="308" t="s">
        <v>297</v>
      </c>
      <c r="G74" s="241"/>
    </row>
    <row r="75" spans="1:7">
      <c r="A75" s="241"/>
      <c r="B75" s="308" t="s">
        <v>300</v>
      </c>
      <c r="C75" s="308" t="s">
        <v>301</v>
      </c>
      <c r="D75" s="310">
        <v>100</v>
      </c>
      <c r="E75" s="310">
        <v>108.28655895398714</v>
      </c>
      <c r="F75" s="308" t="s">
        <v>297</v>
      </c>
      <c r="G75" s="241"/>
    </row>
    <row r="76" spans="1:7">
      <c r="A76" s="241"/>
      <c r="B76" s="308" t="s">
        <v>302</v>
      </c>
      <c r="C76" s="308" t="s">
        <v>301</v>
      </c>
      <c r="D76" s="310">
        <v>200</v>
      </c>
      <c r="E76" s="310">
        <v>227.71053939004119</v>
      </c>
      <c r="F76" s="308" t="s">
        <v>297</v>
      </c>
      <c r="G76" s="241"/>
    </row>
    <row r="77" spans="1:7">
      <c r="A77" s="241"/>
      <c r="B77" s="308" t="s">
        <v>303</v>
      </c>
      <c r="C77" s="308" t="s">
        <v>304</v>
      </c>
      <c r="D77" s="310">
        <v>100</v>
      </c>
      <c r="E77" s="310">
        <v>67.176023317169836</v>
      </c>
      <c r="F77" s="308" t="s">
        <v>297</v>
      </c>
      <c r="G77" s="241"/>
    </row>
    <row r="78" spans="1:7">
      <c r="A78" s="241"/>
      <c r="B78" s="308" t="s">
        <v>239</v>
      </c>
      <c r="C78" s="308" t="s">
        <v>301</v>
      </c>
      <c r="D78" s="310">
        <v>100</v>
      </c>
      <c r="E78" s="310">
        <v>77.971353260607046</v>
      </c>
      <c r="F78" s="308" t="s">
        <v>297</v>
      </c>
      <c r="G78" s="241"/>
    </row>
    <row r="79" spans="1:7">
      <c r="A79" s="241"/>
      <c r="B79" s="308" t="s">
        <v>305</v>
      </c>
      <c r="C79" s="308" t="s">
        <v>296</v>
      </c>
      <c r="D79" s="310">
        <v>150</v>
      </c>
      <c r="E79" s="310">
        <v>171.29507089485315</v>
      </c>
      <c r="F79" s="308" t="s">
        <v>297</v>
      </c>
      <c r="G79" s="241"/>
    </row>
    <row r="80" spans="1:7">
      <c r="A80" s="241"/>
      <c r="B80" s="308" t="s">
        <v>306</v>
      </c>
      <c r="C80" s="308" t="s">
        <v>307</v>
      </c>
      <c r="D80" s="310">
        <v>30</v>
      </c>
      <c r="E80" s="310">
        <v>32.507950914103724</v>
      </c>
      <c r="F80" s="308" t="s">
        <v>297</v>
      </c>
      <c r="G80" s="241"/>
    </row>
    <row r="81" spans="1:7">
      <c r="A81" s="241"/>
      <c r="B81" s="308" t="s">
        <v>240</v>
      </c>
      <c r="C81" s="308" t="s">
        <v>308</v>
      </c>
      <c r="D81" s="310">
        <v>100</v>
      </c>
      <c r="E81" s="310">
        <v>96.233581048318158</v>
      </c>
      <c r="F81" s="308" t="s">
        <v>297</v>
      </c>
      <c r="G81" s="241"/>
    </row>
    <row r="82" spans="1:7">
      <c r="A82" s="241"/>
      <c r="B82" s="308" t="s">
        <v>309</v>
      </c>
      <c r="C82" s="308" t="s">
        <v>301</v>
      </c>
      <c r="D82" s="310">
        <v>100</v>
      </c>
      <c r="E82" s="310">
        <v>129.60828300529084</v>
      </c>
      <c r="F82" s="308" t="s">
        <v>297</v>
      </c>
      <c r="G82" s="241"/>
    </row>
    <row r="83" spans="1:7">
      <c r="A83" s="241"/>
      <c r="B83" s="308" t="s">
        <v>310</v>
      </c>
      <c r="C83" s="308" t="s">
        <v>308</v>
      </c>
      <c r="D83" s="310">
        <v>50</v>
      </c>
      <c r="E83" s="310">
        <v>49.568721905908077</v>
      </c>
      <c r="F83" s="308" t="s">
        <v>297</v>
      </c>
      <c r="G83" s="241"/>
    </row>
    <row r="84" spans="1:7">
      <c r="A84" s="241"/>
      <c r="B84" s="308" t="s">
        <v>311</v>
      </c>
      <c r="C84" s="308" t="s">
        <v>312</v>
      </c>
      <c r="D84" s="310">
        <v>100</v>
      </c>
      <c r="E84" s="310">
        <v>78.270554792570323</v>
      </c>
      <c r="F84" s="308" t="s">
        <v>297</v>
      </c>
      <c r="G84" s="241"/>
    </row>
    <row r="85" spans="1:7">
      <c r="A85" s="241"/>
      <c r="B85" s="308" t="s">
        <v>313</v>
      </c>
      <c r="C85" s="308" t="s">
        <v>312</v>
      </c>
      <c r="D85" s="310">
        <v>100</v>
      </c>
      <c r="E85" s="310">
        <v>98.222429245615658</v>
      </c>
      <c r="F85" s="308" t="s">
        <v>297</v>
      </c>
      <c r="G85" s="241"/>
    </row>
    <row r="86" spans="1:7">
      <c r="A86" s="241"/>
      <c r="B86" s="308" t="s">
        <v>314</v>
      </c>
      <c r="C86" s="308" t="s">
        <v>296</v>
      </c>
      <c r="D86" s="310">
        <v>88</v>
      </c>
      <c r="E86" s="310">
        <v>106.8338381380087</v>
      </c>
      <c r="F86" s="308" t="s">
        <v>297</v>
      </c>
      <c r="G86" s="241"/>
    </row>
    <row r="87" spans="1:7">
      <c r="A87" s="241"/>
      <c r="B87" s="308" t="s">
        <v>315</v>
      </c>
      <c r="C87" s="308" t="s">
        <v>316</v>
      </c>
      <c r="D87" s="310">
        <v>200</v>
      </c>
      <c r="E87" s="310">
        <v>138.82287360284383</v>
      </c>
      <c r="F87" s="308" t="s">
        <v>297</v>
      </c>
      <c r="G87" s="241"/>
    </row>
    <row r="88" spans="1:7">
      <c r="A88" s="241"/>
      <c r="B88" s="308" t="s">
        <v>317</v>
      </c>
      <c r="C88" s="308" t="s">
        <v>296</v>
      </c>
      <c r="D88" s="310">
        <v>50</v>
      </c>
      <c r="E88" s="310">
        <v>55.760080998811247</v>
      </c>
      <c r="F88" s="308" t="s">
        <v>297</v>
      </c>
      <c r="G88" s="241"/>
    </row>
    <row r="89" spans="1:7">
      <c r="A89" s="241"/>
      <c r="B89" s="308" t="s">
        <v>318</v>
      </c>
      <c r="C89" s="308" t="s">
        <v>316</v>
      </c>
      <c r="D89" s="310">
        <v>150</v>
      </c>
      <c r="E89" s="310">
        <v>137.87720293070907</v>
      </c>
      <c r="F89" s="308" t="s">
        <v>297</v>
      </c>
      <c r="G89" s="241"/>
    </row>
    <row r="90" spans="1:7">
      <c r="A90" s="241"/>
      <c r="B90" s="308" t="s">
        <v>319</v>
      </c>
      <c r="C90" s="308" t="s">
        <v>307</v>
      </c>
      <c r="D90" s="310">
        <v>50</v>
      </c>
      <c r="E90" s="310">
        <v>49.077463417474917</v>
      </c>
      <c r="F90" s="308" t="s">
        <v>297</v>
      </c>
      <c r="G90" s="241"/>
    </row>
    <row r="91" spans="1:7">
      <c r="A91" s="241"/>
      <c r="B91" s="308" t="s">
        <v>320</v>
      </c>
      <c r="C91" s="308" t="s">
        <v>321</v>
      </c>
      <c r="D91" s="310">
        <v>240</v>
      </c>
      <c r="E91" s="310">
        <v>221.1568414428896</v>
      </c>
      <c r="F91" s="308" t="s">
        <v>297</v>
      </c>
      <c r="G91" s="241"/>
    </row>
    <row r="92" spans="1:7">
      <c r="A92" s="241"/>
      <c r="B92" s="308" t="s">
        <v>322</v>
      </c>
      <c r="C92" s="308" t="s">
        <v>321</v>
      </c>
      <c r="D92" s="310">
        <v>250</v>
      </c>
      <c r="E92" s="310">
        <v>218.68396835267012</v>
      </c>
      <c r="F92" s="308" t="s">
        <v>297</v>
      </c>
      <c r="G92" s="241"/>
    </row>
    <row r="93" spans="1:7">
      <c r="A93" s="241"/>
      <c r="B93" s="308" t="s">
        <v>323</v>
      </c>
      <c r="C93" s="308" t="s">
        <v>308</v>
      </c>
      <c r="D93" s="310">
        <v>150</v>
      </c>
      <c r="E93" s="310">
        <v>187.00795656248462</v>
      </c>
      <c r="F93" s="308" t="s">
        <v>297</v>
      </c>
      <c r="G93" s="241"/>
    </row>
    <row r="94" spans="1:7">
      <c r="A94" s="241"/>
      <c r="B94" s="308" t="s">
        <v>324</v>
      </c>
      <c r="C94" s="308" t="s">
        <v>304</v>
      </c>
      <c r="D94" s="310">
        <v>50</v>
      </c>
      <c r="E94" s="310">
        <v>47.090183764072499</v>
      </c>
      <c r="F94" s="308" t="s">
        <v>297</v>
      </c>
      <c r="G94" s="241"/>
    </row>
    <row r="95" spans="1:7">
      <c r="A95" s="241"/>
      <c r="B95" s="308" t="s">
        <v>325</v>
      </c>
      <c r="C95" s="308" t="s">
        <v>308</v>
      </c>
      <c r="D95" s="310">
        <v>200</v>
      </c>
      <c r="E95" s="310">
        <v>244.9869499897205</v>
      </c>
      <c r="F95" s="308" t="s">
        <v>297</v>
      </c>
      <c r="G95" s="241"/>
    </row>
    <row r="96" spans="1:7">
      <c r="A96" s="241"/>
      <c r="B96" s="308" t="s">
        <v>326</v>
      </c>
      <c r="C96" s="308" t="s">
        <v>304</v>
      </c>
      <c r="D96" s="310">
        <v>100</v>
      </c>
      <c r="E96" s="310">
        <v>66.588343226705632</v>
      </c>
      <c r="F96" s="308" t="s">
        <v>297</v>
      </c>
      <c r="G96" s="241"/>
    </row>
    <row r="97" spans="1:7">
      <c r="A97" s="241"/>
      <c r="B97" s="308" t="s">
        <v>327</v>
      </c>
      <c r="C97" s="308" t="s">
        <v>321</v>
      </c>
      <c r="D97" s="310">
        <v>10</v>
      </c>
      <c r="E97" s="310">
        <v>10.078341846905335</v>
      </c>
      <c r="F97" s="308" t="s">
        <v>297</v>
      </c>
      <c r="G97" s="241"/>
    </row>
    <row r="98" spans="1:7">
      <c r="A98" s="241"/>
      <c r="B98" s="308" t="s">
        <v>328</v>
      </c>
      <c r="C98" s="308" t="s">
        <v>316</v>
      </c>
      <c r="D98" s="310">
        <v>150</v>
      </c>
      <c r="E98" s="310">
        <v>173.13725820334196</v>
      </c>
      <c r="F98" s="308" t="s">
        <v>297</v>
      </c>
      <c r="G98" s="241"/>
    </row>
    <row r="99" spans="1:7">
      <c r="A99" s="241"/>
      <c r="B99" s="308" t="s">
        <v>241</v>
      </c>
      <c r="C99" s="308" t="s">
        <v>316</v>
      </c>
      <c r="D99" s="310">
        <v>100</v>
      </c>
      <c r="E99" s="310">
        <v>100.89191780599944</v>
      </c>
      <c r="F99" s="308" t="s">
        <v>297</v>
      </c>
      <c r="G99" s="241"/>
    </row>
    <row r="100" spans="1:7">
      <c r="A100" s="241"/>
      <c r="B100" s="308" t="s">
        <v>329</v>
      </c>
      <c r="C100" s="308" t="s">
        <v>330</v>
      </c>
      <c r="D100" s="310">
        <v>50</v>
      </c>
      <c r="E100" s="310">
        <v>42.4477934663323</v>
      </c>
      <c r="F100" s="308" t="s">
        <v>297</v>
      </c>
      <c r="G100" s="241"/>
    </row>
    <row r="101" spans="1:7">
      <c r="A101" s="241"/>
      <c r="B101" s="308" t="s">
        <v>331</v>
      </c>
      <c r="C101" s="308" t="s">
        <v>312</v>
      </c>
      <c r="D101" s="310">
        <v>50</v>
      </c>
      <c r="E101" s="310">
        <v>47.648528303435441</v>
      </c>
      <c r="F101" s="308" t="s">
        <v>297</v>
      </c>
      <c r="G101" s="241"/>
    </row>
    <row r="102" spans="1:7" ht="14" thickBot="1">
      <c r="A102" s="241"/>
      <c r="B102" s="306" t="s">
        <v>332</v>
      </c>
      <c r="C102" s="306" t="s">
        <v>308</v>
      </c>
      <c r="D102" s="311">
        <v>50</v>
      </c>
      <c r="E102" s="311">
        <v>53.988839030363522</v>
      </c>
      <c r="F102" s="306" t="s">
        <v>297</v>
      </c>
      <c r="G102" s="241"/>
    </row>
    <row r="103" spans="1:7">
      <c r="A103" s="241"/>
      <c r="B103" s="241"/>
      <c r="C103" s="241"/>
      <c r="D103" s="241"/>
      <c r="E103" s="241"/>
      <c r="F103" s="241"/>
      <c r="G103" s="241"/>
    </row>
    <row r="104" spans="1:7">
      <c r="A104" s="241"/>
      <c r="B104" s="241"/>
      <c r="C104" s="241"/>
      <c r="D104" s="241"/>
      <c r="E104" s="241"/>
      <c r="F104" s="241"/>
      <c r="G104" s="241"/>
    </row>
    <row r="105" spans="1:7" ht="14" thickBot="1">
      <c r="A105" s="241" t="s">
        <v>290</v>
      </c>
      <c r="B105" s="241"/>
      <c r="C105" s="241"/>
      <c r="D105" s="241"/>
      <c r="E105" s="241"/>
      <c r="F105" s="241"/>
      <c r="G105" s="241"/>
    </row>
    <row r="106" spans="1:7" ht="14" thickBot="1">
      <c r="A106" s="241"/>
      <c r="B106" s="307" t="s">
        <v>285</v>
      </c>
      <c r="C106" s="307" t="s">
        <v>136</v>
      </c>
      <c r="D106" s="307" t="s">
        <v>291</v>
      </c>
      <c r="E106" s="307" t="s">
        <v>292</v>
      </c>
      <c r="F106" s="307" t="s">
        <v>293</v>
      </c>
      <c r="G106" s="307" t="s">
        <v>294</v>
      </c>
    </row>
    <row r="107" spans="1:7">
      <c r="A107" s="241"/>
      <c r="B107" s="308" t="s">
        <v>242</v>
      </c>
      <c r="C107" s="308" t="s">
        <v>237</v>
      </c>
      <c r="D107" s="312">
        <v>0.39999991041200372</v>
      </c>
      <c r="E107" s="308" t="s">
        <v>333</v>
      </c>
      <c r="F107" s="308" t="s">
        <v>334</v>
      </c>
      <c r="G107" s="308">
        <v>0</v>
      </c>
    </row>
    <row r="108" spans="1:7">
      <c r="A108" s="241"/>
      <c r="B108" s="308" t="s">
        <v>295</v>
      </c>
      <c r="C108" s="308" t="s">
        <v>296</v>
      </c>
      <c r="D108" s="310">
        <v>104.50236934415528</v>
      </c>
      <c r="E108" s="308" t="s">
        <v>335</v>
      </c>
      <c r="F108" s="308" t="s">
        <v>336</v>
      </c>
      <c r="G108" s="310">
        <v>104.50236934415528</v>
      </c>
    </row>
    <row r="109" spans="1:7">
      <c r="A109" s="241"/>
      <c r="B109" s="308" t="s">
        <v>238</v>
      </c>
      <c r="C109" s="308" t="s">
        <v>296</v>
      </c>
      <c r="D109" s="310">
        <v>116.72330370066715</v>
      </c>
      <c r="E109" s="308" t="s">
        <v>337</v>
      </c>
      <c r="F109" s="308" t="s">
        <v>336</v>
      </c>
      <c r="G109" s="310">
        <v>116.72330370066715</v>
      </c>
    </row>
    <row r="110" spans="1:7">
      <c r="A110" s="241"/>
      <c r="B110" s="308" t="s">
        <v>298</v>
      </c>
      <c r="C110" s="308" t="s">
        <v>299</v>
      </c>
      <c r="D110" s="310">
        <v>107.42759159800958</v>
      </c>
      <c r="E110" s="308" t="s">
        <v>338</v>
      </c>
      <c r="F110" s="308" t="s">
        <v>336</v>
      </c>
      <c r="G110" s="310">
        <v>107.42759159800958</v>
      </c>
    </row>
    <row r="111" spans="1:7">
      <c r="A111" s="241"/>
      <c r="B111" s="308" t="s">
        <v>300</v>
      </c>
      <c r="C111" s="308" t="s">
        <v>301</v>
      </c>
      <c r="D111" s="310">
        <v>108.28655895398714</v>
      </c>
      <c r="E111" s="308" t="s">
        <v>339</v>
      </c>
      <c r="F111" s="308" t="s">
        <v>336</v>
      </c>
      <c r="G111" s="310">
        <v>108.28655895398714</v>
      </c>
    </row>
    <row r="112" spans="1:7">
      <c r="A112" s="241"/>
      <c r="B112" s="308" t="s">
        <v>302</v>
      </c>
      <c r="C112" s="308" t="s">
        <v>301</v>
      </c>
      <c r="D112" s="310">
        <v>227.71053939004119</v>
      </c>
      <c r="E112" s="308" t="s">
        <v>340</v>
      </c>
      <c r="F112" s="308" t="s">
        <v>336</v>
      </c>
      <c r="G112" s="310">
        <v>227.71053939004119</v>
      </c>
    </row>
    <row r="113" spans="1:7">
      <c r="A113" s="241"/>
      <c r="B113" s="308" t="s">
        <v>303</v>
      </c>
      <c r="C113" s="308" t="s">
        <v>304</v>
      </c>
      <c r="D113" s="310">
        <v>67.176023317169836</v>
      </c>
      <c r="E113" s="308" t="s">
        <v>341</v>
      </c>
      <c r="F113" s="308" t="s">
        <v>336</v>
      </c>
      <c r="G113" s="310">
        <v>67.176023317169836</v>
      </c>
    </row>
    <row r="114" spans="1:7">
      <c r="A114" s="241"/>
      <c r="B114" s="308" t="s">
        <v>239</v>
      </c>
      <c r="C114" s="308" t="s">
        <v>301</v>
      </c>
      <c r="D114" s="310">
        <v>77.971353260607046</v>
      </c>
      <c r="E114" s="308" t="s">
        <v>342</v>
      </c>
      <c r="F114" s="308" t="s">
        <v>336</v>
      </c>
      <c r="G114" s="310">
        <v>77.971353260607046</v>
      </c>
    </row>
    <row r="115" spans="1:7">
      <c r="A115" s="241"/>
      <c r="B115" s="308" t="s">
        <v>305</v>
      </c>
      <c r="C115" s="308" t="s">
        <v>296</v>
      </c>
      <c r="D115" s="310">
        <v>171.29507089485315</v>
      </c>
      <c r="E115" s="308" t="s">
        <v>343</v>
      </c>
      <c r="F115" s="308" t="s">
        <v>336</v>
      </c>
      <c r="G115" s="310">
        <v>171.29507089485315</v>
      </c>
    </row>
    <row r="116" spans="1:7">
      <c r="A116" s="241"/>
      <c r="B116" s="308" t="s">
        <v>306</v>
      </c>
      <c r="C116" s="308" t="s">
        <v>307</v>
      </c>
      <c r="D116" s="310">
        <v>32.507950914103724</v>
      </c>
      <c r="E116" s="308" t="s">
        <v>344</v>
      </c>
      <c r="F116" s="308" t="s">
        <v>336</v>
      </c>
      <c r="G116" s="310">
        <v>32.507950914103724</v>
      </c>
    </row>
    <row r="117" spans="1:7">
      <c r="A117" s="241"/>
      <c r="B117" s="308" t="s">
        <v>240</v>
      </c>
      <c r="C117" s="308" t="s">
        <v>308</v>
      </c>
      <c r="D117" s="310">
        <v>96.233581048318158</v>
      </c>
      <c r="E117" s="308" t="s">
        <v>345</v>
      </c>
      <c r="F117" s="308" t="s">
        <v>336</v>
      </c>
      <c r="G117" s="310">
        <v>96.233581048318158</v>
      </c>
    </row>
    <row r="118" spans="1:7">
      <c r="A118" s="241"/>
      <c r="B118" s="308" t="s">
        <v>309</v>
      </c>
      <c r="C118" s="308" t="s">
        <v>301</v>
      </c>
      <c r="D118" s="310">
        <v>129.60828300529084</v>
      </c>
      <c r="E118" s="308" t="s">
        <v>346</v>
      </c>
      <c r="F118" s="308" t="s">
        <v>336</v>
      </c>
      <c r="G118" s="310">
        <v>129.60828300529084</v>
      </c>
    </row>
    <row r="119" spans="1:7">
      <c r="A119" s="241"/>
      <c r="B119" s="308" t="s">
        <v>310</v>
      </c>
      <c r="C119" s="308" t="s">
        <v>308</v>
      </c>
      <c r="D119" s="310">
        <v>49.568721905908077</v>
      </c>
      <c r="E119" s="308" t="s">
        <v>347</v>
      </c>
      <c r="F119" s="308" t="s">
        <v>336</v>
      </c>
      <c r="G119" s="310">
        <v>49.568721905908077</v>
      </c>
    </row>
    <row r="120" spans="1:7">
      <c r="A120" s="241"/>
      <c r="B120" s="308" t="s">
        <v>311</v>
      </c>
      <c r="C120" s="308" t="s">
        <v>312</v>
      </c>
      <c r="D120" s="310">
        <v>78.270554792570323</v>
      </c>
      <c r="E120" s="308" t="s">
        <v>348</v>
      </c>
      <c r="F120" s="308" t="s">
        <v>336</v>
      </c>
      <c r="G120" s="310">
        <v>78.270554792570323</v>
      </c>
    </row>
    <row r="121" spans="1:7">
      <c r="A121" s="241"/>
      <c r="B121" s="308" t="s">
        <v>313</v>
      </c>
      <c r="C121" s="308" t="s">
        <v>312</v>
      </c>
      <c r="D121" s="310">
        <v>98.222429245615658</v>
      </c>
      <c r="E121" s="308" t="s">
        <v>349</v>
      </c>
      <c r="F121" s="308" t="s">
        <v>336</v>
      </c>
      <c r="G121" s="310">
        <v>98.222429245615658</v>
      </c>
    </row>
    <row r="122" spans="1:7">
      <c r="A122" s="241"/>
      <c r="B122" s="308" t="s">
        <v>314</v>
      </c>
      <c r="C122" s="308" t="s">
        <v>296</v>
      </c>
      <c r="D122" s="310">
        <v>106.8338381380087</v>
      </c>
      <c r="E122" s="308" t="s">
        <v>350</v>
      </c>
      <c r="F122" s="308" t="s">
        <v>336</v>
      </c>
      <c r="G122" s="310">
        <v>106.8338381380087</v>
      </c>
    </row>
    <row r="123" spans="1:7">
      <c r="A123" s="241"/>
      <c r="B123" s="308" t="s">
        <v>315</v>
      </c>
      <c r="C123" s="308" t="s">
        <v>316</v>
      </c>
      <c r="D123" s="310">
        <v>138.82287360284383</v>
      </c>
      <c r="E123" s="308" t="s">
        <v>351</v>
      </c>
      <c r="F123" s="308" t="s">
        <v>336</v>
      </c>
      <c r="G123" s="310">
        <v>138.82287360284383</v>
      </c>
    </row>
    <row r="124" spans="1:7">
      <c r="A124" s="241"/>
      <c r="B124" s="308" t="s">
        <v>317</v>
      </c>
      <c r="C124" s="308" t="s">
        <v>296</v>
      </c>
      <c r="D124" s="310">
        <v>55.760080998811247</v>
      </c>
      <c r="E124" s="308" t="s">
        <v>352</v>
      </c>
      <c r="F124" s="308" t="s">
        <v>336</v>
      </c>
      <c r="G124" s="310">
        <v>55.760080998811247</v>
      </c>
    </row>
    <row r="125" spans="1:7">
      <c r="A125" s="241"/>
      <c r="B125" s="308" t="s">
        <v>318</v>
      </c>
      <c r="C125" s="308" t="s">
        <v>316</v>
      </c>
      <c r="D125" s="310">
        <v>137.87720293070907</v>
      </c>
      <c r="E125" s="308" t="s">
        <v>353</v>
      </c>
      <c r="F125" s="308" t="s">
        <v>336</v>
      </c>
      <c r="G125" s="310">
        <v>137.87720293070907</v>
      </c>
    </row>
    <row r="126" spans="1:7">
      <c r="A126" s="241"/>
      <c r="B126" s="308" t="s">
        <v>319</v>
      </c>
      <c r="C126" s="308" t="s">
        <v>307</v>
      </c>
      <c r="D126" s="310">
        <v>49.077463417474917</v>
      </c>
      <c r="E126" s="308" t="s">
        <v>354</v>
      </c>
      <c r="F126" s="308" t="s">
        <v>336</v>
      </c>
      <c r="G126" s="310">
        <v>49.077463417474917</v>
      </c>
    </row>
    <row r="127" spans="1:7">
      <c r="A127" s="241"/>
      <c r="B127" s="308" t="s">
        <v>320</v>
      </c>
      <c r="C127" s="308" t="s">
        <v>321</v>
      </c>
      <c r="D127" s="310">
        <v>221.1568414428896</v>
      </c>
      <c r="E127" s="308" t="s">
        <v>355</v>
      </c>
      <c r="F127" s="308" t="s">
        <v>336</v>
      </c>
      <c r="G127" s="310">
        <v>221.1568414428896</v>
      </c>
    </row>
    <row r="128" spans="1:7">
      <c r="A128" s="241"/>
      <c r="B128" s="308" t="s">
        <v>322</v>
      </c>
      <c r="C128" s="308" t="s">
        <v>321</v>
      </c>
      <c r="D128" s="310">
        <v>218.68396835267012</v>
      </c>
      <c r="E128" s="308" t="s">
        <v>356</v>
      </c>
      <c r="F128" s="308" t="s">
        <v>336</v>
      </c>
      <c r="G128" s="310">
        <v>218.68396835267012</v>
      </c>
    </row>
    <row r="129" spans="1:7">
      <c r="A129" s="241"/>
      <c r="B129" s="308" t="s">
        <v>323</v>
      </c>
      <c r="C129" s="308" t="s">
        <v>308</v>
      </c>
      <c r="D129" s="310">
        <v>187.00795656248462</v>
      </c>
      <c r="E129" s="308" t="s">
        <v>357</v>
      </c>
      <c r="F129" s="308" t="s">
        <v>336</v>
      </c>
      <c r="G129" s="310">
        <v>187.00795656248462</v>
      </c>
    </row>
    <row r="130" spans="1:7">
      <c r="A130" s="241"/>
      <c r="B130" s="308" t="s">
        <v>324</v>
      </c>
      <c r="C130" s="308" t="s">
        <v>304</v>
      </c>
      <c r="D130" s="310">
        <v>47.090183764072499</v>
      </c>
      <c r="E130" s="308" t="s">
        <v>358</v>
      </c>
      <c r="F130" s="308" t="s">
        <v>336</v>
      </c>
      <c r="G130" s="310">
        <v>47.090183764072499</v>
      </c>
    </row>
    <row r="131" spans="1:7">
      <c r="A131" s="241"/>
      <c r="B131" s="308" t="s">
        <v>325</v>
      </c>
      <c r="C131" s="308" t="s">
        <v>308</v>
      </c>
      <c r="D131" s="310">
        <v>244.9869499897205</v>
      </c>
      <c r="E131" s="308" t="s">
        <v>359</v>
      </c>
      <c r="F131" s="308" t="s">
        <v>336</v>
      </c>
      <c r="G131" s="310">
        <v>244.9869499897205</v>
      </c>
    </row>
    <row r="132" spans="1:7">
      <c r="A132" s="241"/>
      <c r="B132" s="308" t="s">
        <v>326</v>
      </c>
      <c r="C132" s="308" t="s">
        <v>304</v>
      </c>
      <c r="D132" s="310">
        <v>66.588343226705632</v>
      </c>
      <c r="E132" s="308" t="s">
        <v>360</v>
      </c>
      <c r="F132" s="308" t="s">
        <v>336</v>
      </c>
      <c r="G132" s="310">
        <v>66.588343226705632</v>
      </c>
    </row>
    <row r="133" spans="1:7">
      <c r="A133" s="241"/>
      <c r="B133" s="308" t="s">
        <v>327</v>
      </c>
      <c r="C133" s="308" t="s">
        <v>321</v>
      </c>
      <c r="D133" s="310">
        <v>10.078341846905335</v>
      </c>
      <c r="E133" s="308" t="s">
        <v>361</v>
      </c>
      <c r="F133" s="308" t="s">
        <v>336</v>
      </c>
      <c r="G133" s="310">
        <v>10.078341846905335</v>
      </c>
    </row>
    <row r="134" spans="1:7">
      <c r="A134" s="241"/>
      <c r="B134" s="308" t="s">
        <v>328</v>
      </c>
      <c r="C134" s="308" t="s">
        <v>316</v>
      </c>
      <c r="D134" s="310">
        <v>173.13725820334196</v>
      </c>
      <c r="E134" s="308" t="s">
        <v>362</v>
      </c>
      <c r="F134" s="308" t="s">
        <v>336</v>
      </c>
      <c r="G134" s="310">
        <v>173.13725820334196</v>
      </c>
    </row>
    <row r="135" spans="1:7">
      <c r="A135" s="241"/>
      <c r="B135" s="308" t="s">
        <v>241</v>
      </c>
      <c r="C135" s="308" t="s">
        <v>316</v>
      </c>
      <c r="D135" s="310">
        <v>100.89191780599944</v>
      </c>
      <c r="E135" s="308" t="s">
        <v>363</v>
      </c>
      <c r="F135" s="308" t="s">
        <v>336</v>
      </c>
      <c r="G135" s="310">
        <v>100.89191780599944</v>
      </c>
    </row>
    <row r="136" spans="1:7">
      <c r="A136" s="241"/>
      <c r="B136" s="308" t="s">
        <v>329</v>
      </c>
      <c r="C136" s="308" t="s">
        <v>330</v>
      </c>
      <c r="D136" s="310">
        <v>42.4477934663323</v>
      </c>
      <c r="E136" s="308" t="s">
        <v>364</v>
      </c>
      <c r="F136" s="308" t="s">
        <v>336</v>
      </c>
      <c r="G136" s="310">
        <v>42.4477934663323</v>
      </c>
    </row>
    <row r="137" spans="1:7">
      <c r="A137" s="241"/>
      <c r="B137" s="308" t="s">
        <v>331</v>
      </c>
      <c r="C137" s="308" t="s">
        <v>312</v>
      </c>
      <c r="D137" s="310">
        <v>47.648528303435441</v>
      </c>
      <c r="E137" s="308" t="s">
        <v>365</v>
      </c>
      <c r="F137" s="308" t="s">
        <v>336</v>
      </c>
      <c r="G137" s="310">
        <v>47.648528303435441</v>
      </c>
    </row>
    <row r="138" spans="1:7" ht="14" thickBot="1">
      <c r="A138" s="241"/>
      <c r="B138" s="306" t="s">
        <v>332</v>
      </c>
      <c r="C138" s="306" t="s">
        <v>308</v>
      </c>
      <c r="D138" s="311">
        <v>53.988839030363522</v>
      </c>
      <c r="E138" s="306" t="s">
        <v>366</v>
      </c>
      <c r="F138" s="306" t="s">
        <v>336</v>
      </c>
      <c r="G138" s="311">
        <v>53.988839030363522</v>
      </c>
    </row>
    <row r="139" spans="1:7">
      <c r="A139" s="241"/>
      <c r="B139" s="241"/>
      <c r="C139" s="241"/>
      <c r="D139" s="241"/>
      <c r="E139" s="241"/>
      <c r="F139" s="241"/>
      <c r="G139" s="241"/>
    </row>
    <row r="142" spans="1:7">
      <c r="A142" s="1" t="s">
        <v>367</v>
      </c>
      <c r="B142" s="241"/>
      <c r="C142" s="241"/>
      <c r="D142" s="241"/>
      <c r="E142" s="241"/>
    </row>
    <row r="143" spans="1:7">
      <c r="A143" s="1" t="s">
        <v>273</v>
      </c>
      <c r="B143" s="241"/>
      <c r="C143" s="241"/>
      <c r="D143" s="241"/>
      <c r="E143" s="241"/>
    </row>
    <row r="144" spans="1:7">
      <c r="A144" s="1" t="s">
        <v>368</v>
      </c>
      <c r="B144" s="241"/>
      <c r="C144" s="241"/>
      <c r="D144" s="241"/>
      <c r="E144" s="241"/>
    </row>
    <row r="145" spans="1:5">
      <c r="A145" s="241"/>
      <c r="B145" s="241"/>
      <c r="C145" s="241"/>
      <c r="D145" s="241"/>
      <c r="E145" s="241"/>
    </row>
    <row r="146" spans="1:5">
      <c r="A146" s="241"/>
      <c r="B146" s="241"/>
      <c r="C146" s="241"/>
      <c r="D146" s="241"/>
      <c r="E146" s="241"/>
    </row>
    <row r="147" spans="1:5" ht="14" thickBot="1">
      <c r="A147" s="241" t="s">
        <v>288</v>
      </c>
      <c r="B147" s="241"/>
      <c r="C147" s="241"/>
      <c r="D147" s="241"/>
      <c r="E147" s="241"/>
    </row>
    <row r="148" spans="1:5">
      <c r="A148" s="241"/>
      <c r="B148" s="313"/>
      <c r="C148" s="313"/>
      <c r="D148" s="313" t="s">
        <v>369</v>
      </c>
      <c r="E148" s="313" t="s">
        <v>371</v>
      </c>
    </row>
    <row r="149" spans="1:5" ht="14" thickBot="1">
      <c r="A149" s="241"/>
      <c r="B149" s="314" t="s">
        <v>285</v>
      </c>
      <c r="C149" s="314" t="s">
        <v>136</v>
      </c>
      <c r="D149" s="314" t="s">
        <v>370</v>
      </c>
      <c r="E149" s="314" t="s">
        <v>372</v>
      </c>
    </row>
    <row r="150" spans="1:5">
      <c r="A150" s="241"/>
      <c r="B150" s="308" t="s">
        <v>295</v>
      </c>
      <c r="C150" s="308" t="s">
        <v>296</v>
      </c>
      <c r="D150" s="308">
        <v>104.50236934415528</v>
      </c>
      <c r="E150" s="308">
        <v>0</v>
      </c>
    </row>
    <row r="151" spans="1:5">
      <c r="A151" s="241"/>
      <c r="B151" s="308" t="s">
        <v>238</v>
      </c>
      <c r="C151" s="308" t="s">
        <v>296</v>
      </c>
      <c r="D151" s="308">
        <v>116.72330370066715</v>
      </c>
      <c r="E151" s="308">
        <v>0</v>
      </c>
    </row>
    <row r="152" spans="1:5">
      <c r="A152" s="241"/>
      <c r="B152" s="308" t="s">
        <v>298</v>
      </c>
      <c r="C152" s="308" t="s">
        <v>299</v>
      </c>
      <c r="D152" s="308">
        <v>107.42759159800958</v>
      </c>
      <c r="E152" s="308">
        <v>0</v>
      </c>
    </row>
    <row r="153" spans="1:5">
      <c r="A153" s="241"/>
      <c r="B153" s="308" t="s">
        <v>300</v>
      </c>
      <c r="C153" s="308" t="s">
        <v>301</v>
      </c>
      <c r="D153" s="308">
        <v>108.28655895398714</v>
      </c>
      <c r="E153" s="308">
        <v>0</v>
      </c>
    </row>
    <row r="154" spans="1:5">
      <c r="A154" s="241"/>
      <c r="B154" s="308" t="s">
        <v>302</v>
      </c>
      <c r="C154" s="308" t="s">
        <v>301</v>
      </c>
      <c r="D154" s="308">
        <v>227.71053939004119</v>
      </c>
      <c r="E154" s="308">
        <v>0</v>
      </c>
    </row>
    <row r="155" spans="1:5">
      <c r="A155" s="241"/>
      <c r="B155" s="308" t="s">
        <v>303</v>
      </c>
      <c r="C155" s="308" t="s">
        <v>304</v>
      </c>
      <c r="D155" s="308">
        <v>67.176023317169836</v>
      </c>
      <c r="E155" s="308">
        <v>0</v>
      </c>
    </row>
    <row r="156" spans="1:5">
      <c r="A156" s="241"/>
      <c r="B156" s="308" t="s">
        <v>239</v>
      </c>
      <c r="C156" s="308" t="s">
        <v>301</v>
      </c>
      <c r="D156" s="308">
        <v>77.971353260607046</v>
      </c>
      <c r="E156" s="308">
        <v>0</v>
      </c>
    </row>
    <row r="157" spans="1:5">
      <c r="A157" s="241"/>
      <c r="B157" s="308" t="s">
        <v>305</v>
      </c>
      <c r="C157" s="308" t="s">
        <v>296</v>
      </c>
      <c r="D157" s="308">
        <v>171.29507089485315</v>
      </c>
      <c r="E157" s="308">
        <v>0</v>
      </c>
    </row>
    <row r="158" spans="1:5">
      <c r="A158" s="241"/>
      <c r="B158" s="308" t="s">
        <v>306</v>
      </c>
      <c r="C158" s="308" t="s">
        <v>307</v>
      </c>
      <c r="D158" s="308">
        <v>32.507950914103724</v>
      </c>
      <c r="E158" s="308">
        <v>0</v>
      </c>
    </row>
    <row r="159" spans="1:5">
      <c r="A159" s="241"/>
      <c r="B159" s="308" t="s">
        <v>240</v>
      </c>
      <c r="C159" s="308" t="s">
        <v>308</v>
      </c>
      <c r="D159" s="308">
        <v>96.233581048318158</v>
      </c>
      <c r="E159" s="308">
        <v>0</v>
      </c>
    </row>
    <row r="160" spans="1:5">
      <c r="A160" s="241"/>
      <c r="B160" s="308" t="s">
        <v>309</v>
      </c>
      <c r="C160" s="308" t="s">
        <v>301</v>
      </c>
      <c r="D160" s="308">
        <v>129.60828300529084</v>
      </c>
      <c r="E160" s="308">
        <v>0</v>
      </c>
    </row>
    <row r="161" spans="1:5">
      <c r="A161" s="241"/>
      <c r="B161" s="308" t="s">
        <v>310</v>
      </c>
      <c r="C161" s="308" t="s">
        <v>308</v>
      </c>
      <c r="D161" s="308">
        <v>49.568721905908077</v>
      </c>
      <c r="E161" s="308">
        <v>0</v>
      </c>
    </row>
    <row r="162" spans="1:5">
      <c r="A162" s="241"/>
      <c r="B162" s="308" t="s">
        <v>311</v>
      </c>
      <c r="C162" s="308" t="s">
        <v>312</v>
      </c>
      <c r="D162" s="308">
        <v>78.270554792570323</v>
      </c>
      <c r="E162" s="308">
        <v>0</v>
      </c>
    </row>
    <row r="163" spans="1:5">
      <c r="A163" s="241"/>
      <c r="B163" s="308" t="s">
        <v>313</v>
      </c>
      <c r="C163" s="308" t="s">
        <v>312</v>
      </c>
      <c r="D163" s="308">
        <v>98.222429245615658</v>
      </c>
      <c r="E163" s="308">
        <v>0</v>
      </c>
    </row>
    <row r="164" spans="1:5">
      <c r="A164" s="241"/>
      <c r="B164" s="308" t="s">
        <v>314</v>
      </c>
      <c r="C164" s="308" t="s">
        <v>296</v>
      </c>
      <c r="D164" s="308">
        <v>106.8338381380087</v>
      </c>
      <c r="E164" s="308">
        <v>0</v>
      </c>
    </row>
    <row r="165" spans="1:5">
      <c r="A165" s="241"/>
      <c r="B165" s="308" t="s">
        <v>315</v>
      </c>
      <c r="C165" s="308" t="s">
        <v>316</v>
      </c>
      <c r="D165" s="308">
        <v>138.82287360284383</v>
      </c>
      <c r="E165" s="308">
        <v>0</v>
      </c>
    </row>
    <row r="166" spans="1:5">
      <c r="A166" s="241"/>
      <c r="B166" s="308" t="s">
        <v>317</v>
      </c>
      <c r="C166" s="308" t="s">
        <v>296</v>
      </c>
      <c r="D166" s="308">
        <v>55.760080998811247</v>
      </c>
      <c r="E166" s="308">
        <v>0</v>
      </c>
    </row>
    <row r="167" spans="1:5">
      <c r="A167" s="241"/>
      <c r="B167" s="308" t="s">
        <v>318</v>
      </c>
      <c r="C167" s="308" t="s">
        <v>316</v>
      </c>
      <c r="D167" s="308">
        <v>137.87720293070907</v>
      </c>
      <c r="E167" s="308">
        <v>0</v>
      </c>
    </row>
    <row r="168" spans="1:5">
      <c r="A168" s="241"/>
      <c r="B168" s="308" t="s">
        <v>319</v>
      </c>
      <c r="C168" s="308" t="s">
        <v>307</v>
      </c>
      <c r="D168" s="308">
        <v>49.077463417474917</v>
      </c>
      <c r="E168" s="308">
        <v>0</v>
      </c>
    </row>
    <row r="169" spans="1:5">
      <c r="A169" s="241"/>
      <c r="B169" s="308" t="s">
        <v>320</v>
      </c>
      <c r="C169" s="308" t="s">
        <v>321</v>
      </c>
      <c r="D169" s="308">
        <v>221.1568414428896</v>
      </c>
      <c r="E169" s="308">
        <v>0</v>
      </c>
    </row>
    <row r="170" spans="1:5">
      <c r="A170" s="241"/>
      <c r="B170" s="308" t="s">
        <v>322</v>
      </c>
      <c r="C170" s="308" t="s">
        <v>321</v>
      </c>
      <c r="D170" s="308">
        <v>218.68396835267012</v>
      </c>
      <c r="E170" s="308">
        <v>0</v>
      </c>
    </row>
    <row r="171" spans="1:5">
      <c r="A171" s="241"/>
      <c r="B171" s="308" t="s">
        <v>323</v>
      </c>
      <c r="C171" s="308" t="s">
        <v>308</v>
      </c>
      <c r="D171" s="308">
        <v>187.00795656248462</v>
      </c>
      <c r="E171" s="308">
        <v>0</v>
      </c>
    </row>
    <row r="172" spans="1:5">
      <c r="A172" s="241"/>
      <c r="B172" s="308" t="s">
        <v>324</v>
      </c>
      <c r="C172" s="308" t="s">
        <v>304</v>
      </c>
      <c r="D172" s="308">
        <v>47.090183764072499</v>
      </c>
      <c r="E172" s="308">
        <v>0</v>
      </c>
    </row>
    <row r="173" spans="1:5">
      <c r="A173" s="241"/>
      <c r="B173" s="308" t="s">
        <v>325</v>
      </c>
      <c r="C173" s="308" t="s">
        <v>308</v>
      </c>
      <c r="D173" s="308">
        <v>244.9869499897205</v>
      </c>
      <c r="E173" s="308">
        <v>0</v>
      </c>
    </row>
    <row r="174" spans="1:5">
      <c r="A174" s="241"/>
      <c r="B174" s="308" t="s">
        <v>326</v>
      </c>
      <c r="C174" s="308" t="s">
        <v>304</v>
      </c>
      <c r="D174" s="308">
        <v>66.588343226705632</v>
      </c>
      <c r="E174" s="308">
        <v>0</v>
      </c>
    </row>
    <row r="175" spans="1:5">
      <c r="A175" s="241"/>
      <c r="B175" s="308" t="s">
        <v>327</v>
      </c>
      <c r="C175" s="308" t="s">
        <v>321</v>
      </c>
      <c r="D175" s="308">
        <v>10.078341846905335</v>
      </c>
      <c r="E175" s="308">
        <v>0</v>
      </c>
    </row>
    <row r="176" spans="1:5">
      <c r="A176" s="241"/>
      <c r="B176" s="308" t="s">
        <v>328</v>
      </c>
      <c r="C176" s="308" t="s">
        <v>316</v>
      </c>
      <c r="D176" s="308">
        <v>173.13725820334196</v>
      </c>
      <c r="E176" s="308">
        <v>0</v>
      </c>
    </row>
    <row r="177" spans="1:5">
      <c r="A177" s="241"/>
      <c r="B177" s="308" t="s">
        <v>241</v>
      </c>
      <c r="C177" s="308" t="s">
        <v>316</v>
      </c>
      <c r="D177" s="308">
        <v>100.89191780599944</v>
      </c>
      <c r="E177" s="308">
        <v>0</v>
      </c>
    </row>
    <row r="178" spans="1:5">
      <c r="A178" s="241"/>
      <c r="B178" s="308" t="s">
        <v>329</v>
      </c>
      <c r="C178" s="308" t="s">
        <v>330</v>
      </c>
      <c r="D178" s="308">
        <v>42.4477934663323</v>
      </c>
      <c r="E178" s="308">
        <v>0</v>
      </c>
    </row>
    <row r="179" spans="1:5">
      <c r="A179" s="241"/>
      <c r="B179" s="308" t="s">
        <v>331</v>
      </c>
      <c r="C179" s="308" t="s">
        <v>312</v>
      </c>
      <c r="D179" s="308">
        <v>47.648528303435441</v>
      </c>
      <c r="E179" s="308">
        <v>0</v>
      </c>
    </row>
    <row r="180" spans="1:5" ht="14" thickBot="1">
      <c r="A180" s="241"/>
      <c r="B180" s="306" t="s">
        <v>332</v>
      </c>
      <c r="C180" s="306" t="s">
        <v>308</v>
      </c>
      <c r="D180" s="306">
        <v>53.988839030363522</v>
      </c>
      <c r="E180" s="306">
        <v>0</v>
      </c>
    </row>
    <row r="181" spans="1:5">
      <c r="A181" s="241"/>
      <c r="B181" s="241"/>
      <c r="C181" s="241"/>
      <c r="D181" s="241"/>
      <c r="E181" s="241"/>
    </row>
    <row r="182" spans="1:5" ht="14" thickBot="1">
      <c r="A182" s="241" t="s">
        <v>290</v>
      </c>
      <c r="B182" s="241"/>
      <c r="C182" s="241"/>
      <c r="D182" s="241"/>
      <c r="E182" s="241"/>
    </row>
    <row r="183" spans="1:5">
      <c r="A183" s="241"/>
      <c r="B183" s="313"/>
      <c r="C183" s="313"/>
      <c r="D183" s="313" t="s">
        <v>369</v>
      </c>
      <c r="E183" s="313" t="s">
        <v>373</v>
      </c>
    </row>
    <row r="184" spans="1:5" ht="14" thickBot="1">
      <c r="A184" s="241"/>
      <c r="B184" s="314" t="s">
        <v>285</v>
      </c>
      <c r="C184" s="314" t="s">
        <v>136</v>
      </c>
      <c r="D184" s="314" t="s">
        <v>370</v>
      </c>
      <c r="E184" s="314" t="s">
        <v>374</v>
      </c>
    </row>
    <row r="185" spans="1:5" ht="14" thickBot="1">
      <c r="A185" s="241"/>
      <c r="B185" s="306" t="s">
        <v>242</v>
      </c>
      <c r="C185" s="306" t="s">
        <v>237</v>
      </c>
      <c r="D185" s="306">
        <v>0.39999991041200372</v>
      </c>
      <c r="E185" s="306">
        <v>0</v>
      </c>
    </row>
    <row r="186" spans="1:5">
      <c r="A186" s="241"/>
      <c r="B186" s="241"/>
      <c r="C186" s="241"/>
      <c r="D186" s="241"/>
      <c r="E186" s="241"/>
    </row>
    <row r="188" spans="1:5">
      <c r="A188" s="324" t="s">
        <v>427</v>
      </c>
      <c r="B188" s="324"/>
      <c r="C188" s="324"/>
      <c r="D188" s="324"/>
    </row>
    <row r="189" spans="1:5">
      <c r="A189" s="324"/>
      <c r="B189" s="324"/>
      <c r="C189" s="324"/>
      <c r="D189" s="324"/>
    </row>
  </sheetData>
  <mergeCells count="2">
    <mergeCell ref="H53:K54"/>
    <mergeCell ref="A188:D189"/>
  </mergeCells>
  <pageMargins left="0.7" right="0.7" top="0.75" bottom="0.75" header="0.3" footer="0.3"/>
  <pageSetup orientation="portrait" horizontalDpi="0" verticalDpi="0"/>
  <headerFooter>
    <oddHeader>&amp;CStephanie Agbenorhevi</oddHead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2C12D-51E0-4442-9615-C27A3CAC9A72}">
  <sheetPr codeName="Sheet32"/>
  <dimension ref="A10:R94"/>
  <sheetViews>
    <sheetView view="pageLayout" zoomScaleNormal="100" workbookViewId="0">
      <selection activeCell="K8" sqref="K8"/>
    </sheetView>
  </sheetViews>
  <sheetFormatPr baseColWidth="10" defaultRowHeight="13"/>
  <cols>
    <col min="3" max="3" width="16.33203125" customWidth="1"/>
    <col min="4" max="4" width="13.33203125" customWidth="1"/>
    <col min="5" max="5" width="18" customWidth="1"/>
    <col min="6" max="6" width="14.5" customWidth="1"/>
    <col min="8" max="8" width="20" customWidth="1"/>
    <col min="10" max="10" width="14.5" customWidth="1"/>
    <col min="11" max="11" width="17.5" customWidth="1"/>
    <col min="12" max="12" width="12.33203125" customWidth="1"/>
    <col min="14" max="14" width="15.33203125" customWidth="1"/>
    <col min="17" max="17" width="19.33203125" customWidth="1"/>
    <col min="18" max="18" width="18" customWidth="1"/>
  </cols>
  <sheetData>
    <row r="10" spans="2:18">
      <c r="B10" s="83" t="s">
        <v>0</v>
      </c>
      <c r="C10" s="83" t="s">
        <v>1</v>
      </c>
      <c r="D10" s="83" t="s">
        <v>2</v>
      </c>
      <c r="E10" s="83" t="s">
        <v>3</v>
      </c>
      <c r="F10" s="83" t="s">
        <v>4</v>
      </c>
      <c r="G10" s="83" t="s">
        <v>5</v>
      </c>
      <c r="H10" s="83" t="s">
        <v>16</v>
      </c>
      <c r="I10" s="83" t="s">
        <v>17</v>
      </c>
      <c r="J10" s="83" t="s">
        <v>18</v>
      </c>
      <c r="K10" s="83" t="s">
        <v>19</v>
      </c>
      <c r="L10" s="83" t="s">
        <v>20</v>
      </c>
      <c r="M10" s="83" t="s">
        <v>21</v>
      </c>
      <c r="N10" s="83" t="s">
        <v>23</v>
      </c>
      <c r="O10" s="83" t="s">
        <v>24</v>
      </c>
      <c r="P10" s="83" t="s">
        <v>25</v>
      </c>
      <c r="Q10" s="83" t="s">
        <v>26</v>
      </c>
      <c r="R10" s="83" t="s">
        <v>22</v>
      </c>
    </row>
    <row r="11" spans="2:18" ht="28">
      <c r="B11" s="48" t="s">
        <v>168</v>
      </c>
      <c r="C11" s="77" t="s">
        <v>66</v>
      </c>
      <c r="D11" s="77" t="s">
        <v>6</v>
      </c>
      <c r="E11" s="78">
        <v>100</v>
      </c>
      <c r="F11" s="79">
        <v>40291</v>
      </c>
      <c r="G11" s="80">
        <v>67.88</v>
      </c>
      <c r="H11" s="173">
        <v>15857072051</v>
      </c>
      <c r="I11" s="174">
        <v>99.59</v>
      </c>
      <c r="J11" s="173">
        <v>98.04</v>
      </c>
      <c r="K11" s="39">
        <v>5.59</v>
      </c>
      <c r="L11" s="157">
        <f>IF((E11*G11*0.01)&gt;28,28,(E11*G11*0.01))</f>
        <v>28</v>
      </c>
      <c r="M11" s="156">
        <f>G11*E11+L11</f>
        <v>6816</v>
      </c>
      <c r="N11" s="156">
        <f>I11*E11</f>
        <v>9959</v>
      </c>
      <c r="O11" s="172">
        <f>(N11-M11)/M11</f>
        <v>0.46112089201877932</v>
      </c>
      <c r="P11" s="158">
        <f>IF(K11&lt;=0,0,(I11/K11))</f>
        <v>17.815742397137747</v>
      </c>
      <c r="Q11" s="83" t="str">
        <f>IF(H11&gt;10000000000,"Large",IF(AND(H11&gt;=5000000000,H11&lt;=10000000000),"Medium",IF(H11&lt;5000000000,"Small","N/A")))</f>
        <v>Large</v>
      </c>
      <c r="R11" s="166">
        <f>N11/SUM($N$11:$N$41)</f>
        <v>4.1426840382912292E-2</v>
      </c>
    </row>
    <row r="12" spans="2:18" ht="14">
      <c r="B12" s="48" t="s">
        <v>52</v>
      </c>
      <c r="C12" s="77" t="s">
        <v>147</v>
      </c>
      <c r="D12" s="45" t="s">
        <v>10</v>
      </c>
      <c r="E12" s="23">
        <v>100</v>
      </c>
      <c r="F12" s="46">
        <v>40291</v>
      </c>
      <c r="G12" s="47">
        <v>18.53</v>
      </c>
      <c r="H12" s="173">
        <v>31076572682</v>
      </c>
      <c r="I12" s="174">
        <v>18.52</v>
      </c>
      <c r="J12" s="173">
        <v>18.38</v>
      </c>
      <c r="K12" s="39">
        <v>1.46</v>
      </c>
      <c r="L12" s="157">
        <f>IF((E12*G12*0.01)&gt;28,28,(E12*G12*0.01))</f>
        <v>18.53</v>
      </c>
      <c r="M12" s="156">
        <f>G12*E12+L12</f>
        <v>1871.53</v>
      </c>
      <c r="N12" s="156">
        <f>I12*E12</f>
        <v>1852</v>
      </c>
      <c r="O12" s="172">
        <f>(N12-M12)/M12</f>
        <v>-1.0435312284601355E-2</v>
      </c>
      <c r="P12" s="158">
        <f>IF(K12&lt;=0,0,(I12/K12))</f>
        <v>12.684931506849315</v>
      </c>
      <c r="Q12" s="83" t="str">
        <f>IF(H12&gt;10000000000,"Large",IF(AND(H12&gt;=5000000000,H12&lt;=10000000000),"Medium",IF(H12&lt;5000000000,"Small","N/A")))</f>
        <v>Large</v>
      </c>
      <c r="R12" s="166">
        <f>N12/SUM($N$11:$N$41)</f>
        <v>7.7038365688476326E-3</v>
      </c>
    </row>
    <row r="13" spans="2:18" ht="42">
      <c r="B13" s="48" t="s">
        <v>96</v>
      </c>
      <c r="C13" s="77" t="s">
        <v>71</v>
      </c>
      <c r="D13" s="77" t="s">
        <v>10</v>
      </c>
      <c r="E13" s="78">
        <v>50</v>
      </c>
      <c r="F13" s="79">
        <v>40291</v>
      </c>
      <c r="G13" s="80">
        <v>126.99</v>
      </c>
      <c r="H13" s="173">
        <v>152508037371</v>
      </c>
      <c r="I13" s="174">
        <v>162.30000000000001</v>
      </c>
      <c r="J13" s="173">
        <v>161.69</v>
      </c>
      <c r="K13" s="39">
        <v>12.38</v>
      </c>
      <c r="L13" s="157">
        <f>IF((E13*G13*0.01)&gt;28,28,(E13*G13*0.01))</f>
        <v>28</v>
      </c>
      <c r="M13" s="156">
        <f>G13*E13+L13</f>
        <v>6377.5</v>
      </c>
      <c r="N13" s="156">
        <f>I13*E13</f>
        <v>8115.0000000000009</v>
      </c>
      <c r="O13" s="172">
        <f>(N13-M13)/M13</f>
        <v>0.27244217953743644</v>
      </c>
      <c r="P13" s="158">
        <f>IF(K13&lt;=0,0,(I13/K13))</f>
        <v>13.109854604200324</v>
      </c>
      <c r="Q13" s="83" t="str">
        <f>IF(H13&gt;10000000000,"Large",IF(AND(H13&gt;=5000000000,H13&lt;=10000000000),"Medium",IF(H13&lt;5000000000,"Small","N/A")))</f>
        <v>Large</v>
      </c>
      <c r="R13" s="166">
        <f>N13/SUM($N$11:$N$41)</f>
        <v>3.3756281725809148E-2</v>
      </c>
    </row>
    <row r="14" spans="2:18" ht="14">
      <c r="B14" s="48" t="s">
        <v>167</v>
      </c>
      <c r="C14" s="77" t="s">
        <v>154</v>
      </c>
      <c r="D14" s="77" t="s">
        <v>10</v>
      </c>
      <c r="E14" s="78">
        <v>150</v>
      </c>
      <c r="F14" s="79">
        <v>40291</v>
      </c>
      <c r="G14" s="80">
        <v>30.96</v>
      </c>
      <c r="H14" s="173">
        <v>502598539492</v>
      </c>
      <c r="I14" s="174">
        <v>65.5</v>
      </c>
      <c r="J14" s="173">
        <v>65.040000000000006</v>
      </c>
      <c r="K14" s="39">
        <v>2.13</v>
      </c>
      <c r="L14" s="157">
        <f>IF((E14*G14*0.01)&gt;28,28,(E14*G14*0.01))</f>
        <v>28</v>
      </c>
      <c r="M14" s="156">
        <f>G14*E14+L14</f>
        <v>4672</v>
      </c>
      <c r="N14" s="156">
        <f>I14*E14</f>
        <v>9825</v>
      </c>
      <c r="O14" s="172">
        <f>(N14-M14)/M14</f>
        <v>1.1029537671232876</v>
      </c>
      <c r="P14" s="158">
        <f>IF(K14&lt;=0,0,(I14/K14))</f>
        <v>30.751173708920188</v>
      </c>
      <c r="Q14" s="83" t="str">
        <f>IF(H14&gt;10000000000,"Large",IF(AND(H14&gt;=5000000000,H14&lt;=10000000000),"Medium",IF(H14&lt;5000000000,"Small","N/A")))</f>
        <v>Large</v>
      </c>
      <c r="R14" s="166">
        <f>N14/SUM($N$11:$N$41)</f>
        <v>4.0869435361192218E-2</v>
      </c>
    </row>
    <row r="15" spans="2:18" ht="14">
      <c r="B15" s="77" t="s">
        <v>105</v>
      </c>
      <c r="C15" s="77" t="s">
        <v>77</v>
      </c>
      <c r="D15" s="77" t="s">
        <v>10</v>
      </c>
      <c r="E15" s="78">
        <v>200</v>
      </c>
      <c r="F15" s="79">
        <v>40291</v>
      </c>
      <c r="G15" s="80">
        <v>14.32</v>
      </c>
      <c r="H15" s="173">
        <v>4504830000</v>
      </c>
      <c r="I15" s="174">
        <v>35.89</v>
      </c>
      <c r="J15" s="173">
        <v>36.299999999999997</v>
      </c>
      <c r="K15" s="39">
        <v>1.49</v>
      </c>
      <c r="L15" s="157">
        <f>IF((E15*G15*0.01)&gt;28,28,(E15*G15*0.01))</f>
        <v>28</v>
      </c>
      <c r="M15" s="156">
        <f>G15*E15+L15</f>
        <v>2892</v>
      </c>
      <c r="N15" s="156">
        <f>I15*E15</f>
        <v>7178</v>
      </c>
      <c r="O15" s="172">
        <f>(N15-M15)/M15</f>
        <v>1.4820193637621024</v>
      </c>
      <c r="P15" s="158">
        <f>IF(K15&lt;=0,0,(I15/K15))</f>
        <v>24.087248322147651</v>
      </c>
      <c r="Q15" s="83" t="str">
        <f>IF(H15&gt;10000000000,"Large",IF(AND(H15&gt;=5000000000,H15&lt;=10000000000),"Medium",IF(H15&lt;5000000000,"Small","N/A")))</f>
        <v>Small</v>
      </c>
      <c r="R15" s="166">
        <f>N15/SUM($N$11:$N$41)</f>
        <v>2.9858606312736666E-2</v>
      </c>
    </row>
    <row r="16" spans="2:18" ht="14">
      <c r="B16" s="77" t="s">
        <v>124</v>
      </c>
      <c r="C16" s="77" t="s">
        <v>125</v>
      </c>
      <c r="D16" s="77" t="s">
        <v>10</v>
      </c>
      <c r="E16" s="78">
        <v>50</v>
      </c>
      <c r="F16" s="79">
        <v>40291</v>
      </c>
      <c r="G16" s="80">
        <v>17.64</v>
      </c>
      <c r="H16" s="173">
        <v>44954899199</v>
      </c>
      <c r="I16" s="174">
        <v>47.67</v>
      </c>
      <c r="J16" s="173">
        <v>47</v>
      </c>
      <c r="K16" s="39">
        <v>-0.23</v>
      </c>
      <c r="L16" s="157">
        <f>IF((E16*G16*0.01)&gt;28,28,(E16*G16*0.01))</f>
        <v>8.82</v>
      </c>
      <c r="M16" s="156">
        <f>G16*E16+L16</f>
        <v>890.82</v>
      </c>
      <c r="N16" s="156">
        <f>I16*E16</f>
        <v>2383.5</v>
      </c>
      <c r="O16" s="172">
        <f>(N16-M16)/M16</f>
        <v>1.6756247053276754</v>
      </c>
      <c r="P16" s="158">
        <f>IF(K16&lt;=0,0,(I16/K16))</f>
        <v>0</v>
      </c>
      <c r="Q16" s="83" t="str">
        <f>IF(H16&gt;10000000000,"Large",IF(AND(H16&gt;=5000000000,H16&lt;=10000000000),"Medium",IF(H16&lt;5000000000,"Small","N/A")))</f>
        <v>Large</v>
      </c>
      <c r="R16" s="166">
        <f>N16/SUM($N$11:$N$41)</f>
        <v>9.9147378303716689E-3</v>
      </c>
    </row>
    <row r="17" spans="2:18" ht="14">
      <c r="B17" s="48" t="s">
        <v>91</v>
      </c>
      <c r="C17" s="77" t="s">
        <v>145</v>
      </c>
      <c r="D17" s="77" t="s">
        <v>7</v>
      </c>
      <c r="E17" s="78">
        <v>100</v>
      </c>
      <c r="F17" s="79">
        <v>40291</v>
      </c>
      <c r="G17" s="80">
        <v>34.46</v>
      </c>
      <c r="H17" s="173">
        <v>17434838571</v>
      </c>
      <c r="I17" s="174">
        <v>57.5</v>
      </c>
      <c r="J17" s="173">
        <v>57.28</v>
      </c>
      <c r="K17" s="39">
        <v>1.61</v>
      </c>
      <c r="L17" s="157">
        <f>IF((E17*G17*0.01)&gt;28,28,(E17*G17*0.01))</f>
        <v>28</v>
      </c>
      <c r="M17" s="156">
        <f>G17*E17+L17</f>
        <v>3474</v>
      </c>
      <c r="N17" s="156">
        <f>I17*E17</f>
        <v>5750</v>
      </c>
      <c r="O17" s="172">
        <f>(N17-M17)/M17</f>
        <v>0.65515256188831317</v>
      </c>
      <c r="P17" s="158">
        <f>IF(K17&lt;=0,0,(I17/K17))</f>
        <v>35.714285714285715</v>
      </c>
      <c r="Q17" s="83" t="str">
        <f>IF(H17&gt;10000000000,"Large",IF(AND(H17&gt;=5000000000,H17&lt;=10000000000),"Medium",IF(H17&lt;5000000000,"Small","N/A")))</f>
        <v>Large</v>
      </c>
      <c r="R17" s="166">
        <f>N17/SUM($N$11:$N$41)</f>
        <v>2.3918499066346591E-2</v>
      </c>
    </row>
    <row r="18" spans="2:18" ht="14">
      <c r="B18" s="48" t="s">
        <v>44</v>
      </c>
      <c r="C18" s="77" t="s">
        <v>80</v>
      </c>
      <c r="D18" s="77" t="s">
        <v>7</v>
      </c>
      <c r="E18" s="78">
        <v>200</v>
      </c>
      <c r="F18" s="79">
        <v>40291</v>
      </c>
      <c r="G18" s="80">
        <v>23.15</v>
      </c>
      <c r="H18" s="173">
        <v>17224304201</v>
      </c>
      <c r="I18" s="174">
        <v>40.72</v>
      </c>
      <c r="J18" s="173">
        <v>40.479999999999997</v>
      </c>
      <c r="K18" s="39">
        <v>1.38</v>
      </c>
      <c r="L18" s="157">
        <f>IF((E18*G18*0.01)&gt;28,28,(E18*G18*0.01))</f>
        <v>28</v>
      </c>
      <c r="M18" s="156">
        <f>G18*E18+L18</f>
        <v>4658</v>
      </c>
      <c r="N18" s="156">
        <f>I18*E18</f>
        <v>8144</v>
      </c>
      <c r="O18" s="172">
        <f>(N18-M18)/M18</f>
        <v>0.74838986689566334</v>
      </c>
      <c r="P18" s="158">
        <f>IF(K18&lt;=0,0,(I18/K18))</f>
        <v>29.507246376811597</v>
      </c>
      <c r="Q18" s="83" t="str">
        <f>IF(H18&gt;10000000000,"Large",IF(AND(H18&gt;=5000000000,H18&lt;=10000000000),"Medium",IF(H18&lt;5000000000,"Small","N/A")))</f>
        <v>Large</v>
      </c>
      <c r="R18" s="166">
        <f>N18/SUM($N$11:$N$41)</f>
        <v>3.3876914155882891E-2</v>
      </c>
    </row>
    <row r="19" spans="2:18" ht="14">
      <c r="B19" s="48" t="s">
        <v>93</v>
      </c>
      <c r="C19" s="77" t="s">
        <v>70</v>
      </c>
      <c r="D19" s="77" t="s">
        <v>7</v>
      </c>
      <c r="E19" s="78">
        <v>100</v>
      </c>
      <c r="F19" s="79">
        <v>40291</v>
      </c>
      <c r="G19" s="80">
        <v>70.63</v>
      </c>
      <c r="H19" s="173">
        <v>33323671651</v>
      </c>
      <c r="I19" s="174">
        <v>57.88</v>
      </c>
      <c r="J19" s="173">
        <v>57.84</v>
      </c>
      <c r="K19" s="39">
        <v>2.7</v>
      </c>
      <c r="L19" s="157">
        <f>IF((E19*G19*0.01)&gt;28,28,(E19*G19*0.01))</f>
        <v>28</v>
      </c>
      <c r="M19" s="156">
        <f>G19*E19+L19</f>
        <v>7091</v>
      </c>
      <c r="N19" s="156">
        <f>I19*E19</f>
        <v>5788</v>
      </c>
      <c r="O19" s="172">
        <f>(N19-M19)/M19</f>
        <v>-0.18375405443519954</v>
      </c>
      <c r="P19" s="158">
        <f>IF(K19&lt;=0,0,(I19/K19))</f>
        <v>21.437037037037037</v>
      </c>
      <c r="Q19" s="83" t="str">
        <f>IF(H19&gt;10000000000,"Large",IF(AND(H19&gt;=5000000000,H19&lt;=10000000000),"Medium",IF(H19&lt;5000000000,"Small","N/A")))</f>
        <v>Large</v>
      </c>
      <c r="R19" s="166">
        <f>N19/SUM($N$11:$N$41)</f>
        <v>2.4076569147132881E-2</v>
      </c>
    </row>
    <row r="20" spans="2:18" ht="14">
      <c r="B20" s="48" t="s">
        <v>95</v>
      </c>
      <c r="C20" s="77" t="s">
        <v>148</v>
      </c>
      <c r="D20" s="77" t="s">
        <v>7</v>
      </c>
      <c r="E20" s="78">
        <v>100</v>
      </c>
      <c r="F20" s="79">
        <v>40291</v>
      </c>
      <c r="G20" s="80">
        <v>48.72</v>
      </c>
      <c r="H20" s="173">
        <v>23104464730</v>
      </c>
      <c r="I20" s="174">
        <v>108.8</v>
      </c>
      <c r="J20" s="173">
        <v>108.63</v>
      </c>
      <c r="K20" s="39">
        <v>3.34</v>
      </c>
      <c r="L20" s="157">
        <f>IF((E20*G20*0.01)&gt;28,28,(E20*G20*0.01))</f>
        <v>28</v>
      </c>
      <c r="M20" s="156">
        <f>G20*E20+L20</f>
        <v>4900</v>
      </c>
      <c r="N20" s="156">
        <f>I20*E20</f>
        <v>10880</v>
      </c>
      <c r="O20" s="172">
        <f>(N20-M20)/M20</f>
        <v>1.2204081632653061</v>
      </c>
      <c r="P20" s="158">
        <f>IF(K20&lt;=0,0,(I20/K20))</f>
        <v>32.574850299401199</v>
      </c>
      <c r="Q20" s="83" t="str">
        <f>IF(H20&gt;10000000000,"Large",IF(AND(H20&gt;=5000000000,H20&lt;=10000000000),"Medium",IF(H20&lt;5000000000,"Small","N/A")))</f>
        <v>Large</v>
      </c>
      <c r="R20" s="166">
        <f>N20/SUM($N$11:$N$41)</f>
        <v>4.5257959972495806E-2</v>
      </c>
    </row>
    <row r="21" spans="2:18">
      <c r="B21" s="45" t="s">
        <v>171</v>
      </c>
      <c r="C21" s="45" t="s">
        <v>174</v>
      </c>
      <c r="D21" s="45" t="s">
        <v>12</v>
      </c>
      <c r="E21" s="45">
        <v>250</v>
      </c>
      <c r="F21" s="120">
        <v>40291</v>
      </c>
      <c r="G21" s="119">
        <v>28.53</v>
      </c>
      <c r="H21" s="173">
        <v>75323415209</v>
      </c>
      <c r="I21" s="174">
        <v>43.98</v>
      </c>
      <c r="J21" s="173">
        <v>43.59</v>
      </c>
      <c r="K21" s="39">
        <v>0.94</v>
      </c>
      <c r="L21" s="157">
        <f>IF((E21*G21*0.01)&gt;28,28,(E21*G21*0.01))</f>
        <v>28</v>
      </c>
      <c r="M21" s="156">
        <f>G21*E21+L21</f>
        <v>7160.5</v>
      </c>
      <c r="N21" s="156">
        <f>I21*E21</f>
        <v>10995</v>
      </c>
      <c r="O21" s="172">
        <f>(N21-M21)/M21</f>
        <v>0.53550729697646815</v>
      </c>
      <c r="P21" s="158">
        <f>IF(K21&lt;=0,0,(I21/K21))</f>
        <v>46.787234042553187</v>
      </c>
      <c r="Q21" s="83" t="str">
        <f>IF(H21&gt;10000000000,"Large",IF(AND(H21&gt;=5000000000,H21&lt;=10000000000),"Medium",IF(H21&lt;5000000000,"Small","N/A")))</f>
        <v>Large</v>
      </c>
      <c r="R21" s="166">
        <f>N21/SUM($N$11:$N$41)</f>
        <v>4.5736329953822742E-2</v>
      </c>
    </row>
    <row r="22" spans="2:18" ht="14">
      <c r="B22" s="48" t="s">
        <v>177</v>
      </c>
      <c r="C22" s="77" t="s">
        <v>144</v>
      </c>
      <c r="D22" s="45" t="s">
        <v>12</v>
      </c>
      <c r="E22" s="78">
        <v>250</v>
      </c>
      <c r="F22" s="79">
        <v>40291</v>
      </c>
      <c r="G22" s="80">
        <v>105.48</v>
      </c>
      <c r="H22" s="173">
        <v>123606162095</v>
      </c>
      <c r="I22" s="38">
        <v>162.72</v>
      </c>
      <c r="J22" s="39">
        <v>164.4</v>
      </c>
      <c r="K22" s="39">
        <v>9.06</v>
      </c>
      <c r="L22" s="157">
        <f>IF((E22*G22*0.01)&gt;28,28,(E22*G22*0.01))</f>
        <v>28</v>
      </c>
      <c r="M22" s="156">
        <f>G22*E22+L22</f>
        <v>26398</v>
      </c>
      <c r="N22" s="156">
        <f>I22*E22</f>
        <v>40680</v>
      </c>
      <c r="O22" s="172">
        <f>(N22-M22)/M22</f>
        <v>0.54102583529055226</v>
      </c>
      <c r="P22" s="158">
        <f>IF(K22&lt;=0,0,(I22/K22))</f>
        <v>17.960264900662249</v>
      </c>
      <c r="Q22" s="83" t="str">
        <f>IF(H22&gt;10000000000,"Large",IF(AND(H22&gt;=5000000000,H22&lt;=10000000000),"Medium",IF(H22&lt;5000000000,"Small","N/A")))</f>
        <v>Large</v>
      </c>
      <c r="R22" s="166">
        <f>N22/SUM($N$11:$N$41)</f>
        <v>0.16921818122069204</v>
      </c>
    </row>
    <row r="23" spans="2:18" ht="14">
      <c r="B23" s="48" t="s">
        <v>173</v>
      </c>
      <c r="C23" s="77" t="s">
        <v>175</v>
      </c>
      <c r="D23" s="77" t="s">
        <v>12</v>
      </c>
      <c r="E23" s="78">
        <v>250</v>
      </c>
      <c r="F23" s="79">
        <v>40291</v>
      </c>
      <c r="G23" s="80">
        <v>20.14</v>
      </c>
      <c r="H23" s="173">
        <v>109621013986</v>
      </c>
      <c r="I23" s="174">
        <v>40.71</v>
      </c>
      <c r="J23" s="173">
        <v>40.840000000000003</v>
      </c>
      <c r="K23" s="39">
        <v>0.37</v>
      </c>
      <c r="L23" s="157">
        <f>IF((E23*G23*0.01)&gt;28,28,(E23*G23*0.01))</f>
        <v>28</v>
      </c>
      <c r="M23" s="156">
        <f>G23*E23+L23</f>
        <v>5063</v>
      </c>
      <c r="N23" s="156">
        <f>I23*E23</f>
        <v>10177.5</v>
      </c>
      <c r="O23" s="172">
        <f>(N23-M23)/M23</f>
        <v>1.0101718348805055</v>
      </c>
      <c r="P23" s="158">
        <f>IF(K23&lt;=0,0,(I23/K23))</f>
        <v>110.02702702702703</v>
      </c>
      <c r="Q23" s="83" t="str">
        <f>IF(H23&gt;10000000000,"Large",IF(AND(H23&gt;=5000000000,H23&lt;=10000000000),"Medium",IF(H23&lt;5000000000,"Small","N/A")))</f>
        <v>Large</v>
      </c>
      <c r="R23" s="166">
        <f>N23/SUM($N$11:$N$41)</f>
        <v>4.2335743347433466E-2</v>
      </c>
    </row>
    <row r="24" spans="2:18" ht="28">
      <c r="B24" s="48" t="s">
        <v>99</v>
      </c>
      <c r="C24" s="77" t="s">
        <v>73</v>
      </c>
      <c r="D24" s="77" t="s">
        <v>12</v>
      </c>
      <c r="E24" s="78">
        <v>250</v>
      </c>
      <c r="F24" s="79">
        <v>40291</v>
      </c>
      <c r="G24" s="80">
        <v>65.040000000000006</v>
      </c>
      <c r="H24" s="173">
        <v>329020961069</v>
      </c>
      <c r="I24" s="174">
        <v>121.87</v>
      </c>
      <c r="J24" s="173">
        <v>121.37</v>
      </c>
      <c r="K24" s="39">
        <v>5.93</v>
      </c>
      <c r="L24" s="157">
        <f>IF((E24*G24*0.01)&gt;28,28,(E24*G24*0.01))</f>
        <v>28</v>
      </c>
      <c r="M24" s="156">
        <f>G24*E24+L24</f>
        <v>16288.000000000002</v>
      </c>
      <c r="N24" s="156">
        <f>I24*E24</f>
        <v>30467.5</v>
      </c>
      <c r="O24" s="172">
        <f>(N24-M24)/M24</f>
        <v>0.87054887033398798</v>
      </c>
      <c r="P24" s="158">
        <f>IF(K24&lt;=0,0,(I24/K24))</f>
        <v>20.551433389544691</v>
      </c>
      <c r="Q24" s="83" t="str">
        <f>IF(H24&gt;10000000000,"Large",IF(AND(H24&gt;=5000000000,H24&lt;=10000000000),"Medium",IF(H24&lt;5000000000,"Small","N/A")))</f>
        <v>Large</v>
      </c>
      <c r="R24" s="166">
        <f>N24/SUM($N$11:$N$41)</f>
        <v>0.12673684700937649</v>
      </c>
    </row>
    <row r="25" spans="2:18" ht="14">
      <c r="B25" s="48" t="s">
        <v>122</v>
      </c>
      <c r="C25" s="77" t="s">
        <v>151</v>
      </c>
      <c r="D25" s="77" t="s">
        <v>12</v>
      </c>
      <c r="E25" s="78">
        <v>250</v>
      </c>
      <c r="F25" s="79">
        <v>40291</v>
      </c>
      <c r="G25" s="80">
        <v>35.46</v>
      </c>
      <c r="H25" s="173">
        <v>89250333937</v>
      </c>
      <c r="I25" s="174">
        <v>81.94</v>
      </c>
      <c r="J25" s="173">
        <v>80.89</v>
      </c>
      <c r="K25" s="39">
        <v>2.58</v>
      </c>
      <c r="L25" s="157">
        <f>IF((E25*G25*0.01)&gt;28,28,(E25*G25*0.01))</f>
        <v>28</v>
      </c>
      <c r="M25" s="156">
        <f>G25*E25+L25</f>
        <v>8893</v>
      </c>
      <c r="N25" s="156">
        <f>I25*E25</f>
        <v>20485</v>
      </c>
      <c r="O25" s="172">
        <f>(N25-M25)/M25</f>
        <v>1.3034971325761835</v>
      </c>
      <c r="P25" s="158">
        <f>IF(K25&lt;=0,0,(I25/K25))</f>
        <v>31.759689922480618</v>
      </c>
      <c r="Q25" s="83" t="str">
        <f>IF(H25&gt;10000000000,"Large",IF(AND(H25&gt;=5000000000,H25&lt;=10000000000),"Medium",IF(H25&lt;5000000000,"Small","N/A")))</f>
        <v>Large</v>
      </c>
      <c r="R25" s="166">
        <f>N25/SUM($N$11:$N$41)</f>
        <v>8.5212252760714771E-2</v>
      </c>
    </row>
    <row r="26" spans="2:18" ht="14">
      <c r="B26" s="48" t="s">
        <v>102</v>
      </c>
      <c r="C26" s="77" t="s">
        <v>74</v>
      </c>
      <c r="D26" s="77" t="s">
        <v>14</v>
      </c>
      <c r="E26" s="78">
        <v>240</v>
      </c>
      <c r="F26" s="79">
        <v>40291</v>
      </c>
      <c r="G26" s="80">
        <v>10.48</v>
      </c>
      <c r="H26" s="173">
        <v>1172951869</v>
      </c>
      <c r="I26" s="174">
        <v>8.7200000000000006</v>
      </c>
      <c r="J26" s="173">
        <v>8.6999999999999993</v>
      </c>
      <c r="K26" s="39">
        <v>-2.54</v>
      </c>
      <c r="L26" s="157">
        <f>IF((E26*G26*0.01)&gt;28,28,(E26*G26*0.01))</f>
        <v>25.152000000000005</v>
      </c>
      <c r="M26" s="156">
        <f>G26*E26+L26</f>
        <v>2540.3520000000003</v>
      </c>
      <c r="N26" s="156">
        <f>I26*E26</f>
        <v>2092.8000000000002</v>
      </c>
      <c r="O26" s="172">
        <f>(N26-M26)/M26</f>
        <v>-0.17617715970070291</v>
      </c>
      <c r="P26" s="158">
        <f>IF(K26&lt;=0,0,(I26/K26))</f>
        <v>0</v>
      </c>
      <c r="Q26" s="83" t="str">
        <f>IF(H26&gt;10000000000,"Large",IF(AND(H26&gt;=5000000000,H26&lt;=10000000000),"Medium",IF(H26&lt;5000000000,"Small","N/A")))</f>
        <v>Small</v>
      </c>
      <c r="R26" s="166">
        <f>N26/SUM($N$11:$N$41)</f>
        <v>8.7055017123565479E-3</v>
      </c>
    </row>
    <row r="27" spans="2:18" ht="28">
      <c r="B27" s="48" t="s">
        <v>103</v>
      </c>
      <c r="C27" s="77" t="s">
        <v>75</v>
      </c>
      <c r="D27" s="77" t="s">
        <v>14</v>
      </c>
      <c r="E27" s="78">
        <v>250</v>
      </c>
      <c r="F27" s="79">
        <v>40291</v>
      </c>
      <c r="G27" s="80">
        <v>19.21</v>
      </c>
      <c r="H27" s="173">
        <v>34041939137</v>
      </c>
      <c r="I27" s="174">
        <v>17.25</v>
      </c>
      <c r="J27" s="173">
        <v>16.96</v>
      </c>
      <c r="K27" s="39">
        <v>1.41</v>
      </c>
      <c r="L27" s="157">
        <f>IF((E27*G27*0.01)&gt;28,28,(E27*G27*0.01))</f>
        <v>28</v>
      </c>
      <c r="M27" s="156">
        <f>G27*E27+L27</f>
        <v>4830.5</v>
      </c>
      <c r="N27" s="156">
        <f>I27*E27</f>
        <v>4312.5</v>
      </c>
      <c r="O27" s="172">
        <f>(N27-M27)/M27</f>
        <v>-0.10723527585136114</v>
      </c>
      <c r="P27" s="158">
        <f>IF(K27&lt;=0,0,(I27/K27))</f>
        <v>12.23404255319149</v>
      </c>
      <c r="Q27" s="83" t="str">
        <f>IF(H27&gt;10000000000,"Large",IF(AND(H27&gt;=5000000000,H27&lt;=10000000000),"Medium",IF(H27&lt;5000000000,"Small","N/A")))</f>
        <v>Large</v>
      </c>
      <c r="R27" s="166">
        <f>N27/SUM($N$11:$N$41)</f>
        <v>1.7938874299759943E-2</v>
      </c>
    </row>
    <row r="28" spans="2:18" ht="14">
      <c r="B28" s="77" t="s">
        <v>107</v>
      </c>
      <c r="C28" s="77" t="s">
        <v>78</v>
      </c>
      <c r="D28" s="77" t="s">
        <v>14</v>
      </c>
      <c r="E28" s="78">
        <v>10</v>
      </c>
      <c r="F28" s="79">
        <v>40291</v>
      </c>
      <c r="G28" s="80">
        <v>20.86</v>
      </c>
      <c r="H28" s="173">
        <v>22579661595</v>
      </c>
      <c r="I28" s="174">
        <v>39.409999999999997</v>
      </c>
      <c r="J28" s="173">
        <v>38.869999999999997</v>
      </c>
      <c r="K28" s="39">
        <v>1.76</v>
      </c>
      <c r="L28" s="157">
        <f>IF((E28*G28*0.01)&gt;28,28,(E28*G28*0.01))</f>
        <v>2.0859999999999999</v>
      </c>
      <c r="M28" s="156">
        <f>G28*E28+L28</f>
        <v>210.68600000000001</v>
      </c>
      <c r="N28" s="156">
        <f>I28*E28</f>
        <v>394.09999999999997</v>
      </c>
      <c r="O28" s="172">
        <f>(N28-M28)/M28</f>
        <v>0.87055618313509175</v>
      </c>
      <c r="P28" s="158">
        <f>IF(K28&lt;=0,0,(I28/K28))</f>
        <v>22.392045454545453</v>
      </c>
      <c r="Q28" s="83" t="str">
        <f>IF(H28&gt;10000000000,"Large",IF(AND(H28&gt;=5000000000,H28&lt;=10000000000),"Medium",IF(H28&lt;5000000000,"Small","N/A")))</f>
        <v>Large</v>
      </c>
      <c r="R28" s="166">
        <f>N28/SUM($N$11:$N$41)</f>
        <v>1.6393531273125549E-3</v>
      </c>
    </row>
    <row r="29" spans="2:18" ht="28">
      <c r="B29" s="77" t="s">
        <v>110</v>
      </c>
      <c r="C29" s="77" t="s">
        <v>79</v>
      </c>
      <c r="D29" s="77" t="s">
        <v>15</v>
      </c>
      <c r="E29" s="78">
        <v>50</v>
      </c>
      <c r="F29" s="79">
        <v>40291</v>
      </c>
      <c r="G29" s="80">
        <v>59.24</v>
      </c>
      <c r="H29" s="173">
        <v>4953343427</v>
      </c>
      <c r="I29" s="174">
        <v>30.51</v>
      </c>
      <c r="J29" s="173">
        <v>28.42</v>
      </c>
      <c r="K29" s="39">
        <v>-2.81</v>
      </c>
      <c r="L29" s="157">
        <f>IF((E29*G29*0.01)&gt;28,28,(E29*G29*0.01))</f>
        <v>28</v>
      </c>
      <c r="M29" s="156">
        <f>G29*E29+L29</f>
        <v>2990</v>
      </c>
      <c r="N29" s="156">
        <f>I29*E29</f>
        <v>1525.5</v>
      </c>
      <c r="O29" s="172">
        <f>(N29-M29)/M29</f>
        <v>-0.4897993311036789</v>
      </c>
      <c r="P29" s="158">
        <f>IF(K29&lt;=0,0,(I29/K29))</f>
        <v>0</v>
      </c>
      <c r="Q29" s="83" t="str">
        <f>IF(H29&gt;10000000000,"Large",IF(AND(H29&gt;=5000000000,H29&lt;=10000000000),"Medium",IF(H29&lt;5000000000,"Small","N/A")))</f>
        <v>Small</v>
      </c>
      <c r="R29" s="166">
        <f>N29/SUM($N$11:$N$41)</f>
        <v>6.3456817957759518E-3</v>
      </c>
    </row>
    <row r="30" spans="2:18" ht="14">
      <c r="B30" s="43" t="s">
        <v>94</v>
      </c>
      <c r="C30" s="44" t="s">
        <v>146</v>
      </c>
      <c r="D30" s="77" t="s">
        <v>9</v>
      </c>
      <c r="E30" s="78">
        <v>30</v>
      </c>
      <c r="F30" s="79">
        <v>40291</v>
      </c>
      <c r="G30" s="80">
        <v>40.53</v>
      </c>
      <c r="H30" s="173">
        <v>11939394310</v>
      </c>
      <c r="I30" s="174">
        <v>96.01</v>
      </c>
      <c r="J30" s="173">
        <v>95.51</v>
      </c>
      <c r="K30" s="39">
        <v>4.34</v>
      </c>
      <c r="L30" s="157">
        <f>IF((E30*G30*0.01)&gt;28,28,(E30*G30*0.01))</f>
        <v>12.159000000000001</v>
      </c>
      <c r="M30" s="156">
        <f>G30*E30+L30</f>
        <v>1228.0590000000002</v>
      </c>
      <c r="N30" s="156">
        <f>I30*E30</f>
        <v>2880.3</v>
      </c>
      <c r="O30" s="172">
        <f>(N30-M30)/M30</f>
        <v>1.3454084860743658</v>
      </c>
      <c r="P30" s="158">
        <f>IF(K30&lt;=0,0,(I30/K30))</f>
        <v>22.122119815668206</v>
      </c>
      <c r="Q30" s="83" t="str">
        <f>IF(H30&gt;10000000000,"Large",IF(AND(H30&gt;=5000000000,H30&lt;=10000000000),"Medium",IF(H30&lt;5000000000,"Small","N/A")))</f>
        <v>Large</v>
      </c>
      <c r="R30" s="166">
        <f>N30/SUM($N$11:$N$41)</f>
        <v>1.1981296149704015E-2</v>
      </c>
    </row>
    <row r="31" spans="2:18" ht="14">
      <c r="B31" s="48" t="s">
        <v>101</v>
      </c>
      <c r="C31" s="77" t="s">
        <v>153</v>
      </c>
      <c r="D31" s="77" t="s">
        <v>9</v>
      </c>
      <c r="E31" s="78">
        <v>50</v>
      </c>
      <c r="F31" s="79">
        <v>40291</v>
      </c>
      <c r="G31" s="80">
        <v>23.54</v>
      </c>
      <c r="H31" s="173">
        <v>8600521944</v>
      </c>
      <c r="I31" s="174">
        <v>25.21</v>
      </c>
      <c r="J31" s="173">
        <v>25.11</v>
      </c>
      <c r="K31" s="39">
        <v>0.92</v>
      </c>
      <c r="L31" s="157">
        <f>IF((E31*G31*0.01)&gt;28,28,(E31*G31*0.01))</f>
        <v>11.77</v>
      </c>
      <c r="M31" s="156">
        <f>G31*E31+L31</f>
        <v>1188.77</v>
      </c>
      <c r="N31" s="156">
        <f>I31*E31</f>
        <v>1260.5</v>
      </c>
      <c r="O31" s="172">
        <f>(N31-M31)/M31</f>
        <v>6.0339678827695871E-2</v>
      </c>
      <c r="P31" s="158">
        <f>IF(K31&lt;=0,0,(I31/K31))</f>
        <v>27.402173913043477</v>
      </c>
      <c r="Q31" s="83" t="str">
        <f>IF(H31&gt;10000000000,"Large",IF(AND(H31&gt;=5000000000,H31&lt;=10000000000),"Medium",IF(H31&lt;5000000000,"Small","N/A")))</f>
        <v>Medium</v>
      </c>
      <c r="R31" s="166">
        <f>N31/SUM($N$11:$N$41)</f>
        <v>5.243350969239979E-3</v>
      </c>
    </row>
    <row r="32" spans="2:18" ht="14">
      <c r="B32" s="48" t="s">
        <v>97</v>
      </c>
      <c r="C32" s="77" t="s">
        <v>149</v>
      </c>
      <c r="D32" s="77" t="s">
        <v>11</v>
      </c>
      <c r="E32" s="78">
        <v>100</v>
      </c>
      <c r="F32" s="79">
        <v>40291</v>
      </c>
      <c r="G32" s="80">
        <v>56.48</v>
      </c>
      <c r="H32" s="173">
        <v>3457914174</v>
      </c>
      <c r="I32" s="174">
        <v>39.96</v>
      </c>
      <c r="J32" s="173">
        <v>39</v>
      </c>
      <c r="K32" s="39">
        <v>2.0699999999999998</v>
      </c>
      <c r="L32" s="157">
        <f>IF((E32*G32*0.01)&gt;28,28,(E32*G32*0.01))</f>
        <v>28</v>
      </c>
      <c r="M32" s="156">
        <f>G32*E32+L32</f>
        <v>5676</v>
      </c>
      <c r="N32" s="156">
        <f>I32*E32</f>
        <v>3996</v>
      </c>
      <c r="O32" s="172">
        <f>(N32-M32)/M32</f>
        <v>-0.29598308668076112</v>
      </c>
      <c r="P32" s="158">
        <f>IF(K32&lt;=0,0,(I32/K32))</f>
        <v>19.304347826086957</v>
      </c>
      <c r="Q32" s="83" t="str">
        <f>IF(H32&gt;10000000000,"Large",IF(AND(H32&gt;=5000000000,H32&lt;=10000000000),"Medium",IF(H32&lt;5000000000,"Small","N/A")))</f>
        <v>Small</v>
      </c>
      <c r="R32" s="166">
        <f>N32/SUM($N$11:$N$41)</f>
        <v>1.6622316916368864E-2</v>
      </c>
    </row>
    <row r="33" spans="2:18" ht="28">
      <c r="B33" s="48" t="s">
        <v>98</v>
      </c>
      <c r="C33" s="77" t="s">
        <v>72</v>
      </c>
      <c r="D33" s="77" t="s">
        <v>11</v>
      </c>
      <c r="E33" s="78">
        <v>100</v>
      </c>
      <c r="F33" s="79">
        <v>40291</v>
      </c>
      <c r="G33" s="80">
        <v>34.229999999999997</v>
      </c>
      <c r="H33" s="173">
        <v>38749953547</v>
      </c>
      <c r="I33" s="174">
        <v>41.73</v>
      </c>
      <c r="J33" s="173">
        <v>41.28</v>
      </c>
      <c r="K33" s="39">
        <v>-1.64</v>
      </c>
      <c r="L33" s="157">
        <f>IF((E33*G33*0.01)&gt;28,28,(E33*G33*0.01))</f>
        <v>28</v>
      </c>
      <c r="M33" s="156">
        <f>G33*E33+L33</f>
        <v>3450.9999999999995</v>
      </c>
      <c r="N33" s="156">
        <f>I33*E33</f>
        <v>4173</v>
      </c>
      <c r="O33" s="172">
        <f>(N33-M33)/M33</f>
        <v>0.20921472037090713</v>
      </c>
      <c r="P33" s="158">
        <f>IF(K33&lt;=0,0,(I33/K33))</f>
        <v>0</v>
      </c>
      <c r="Q33" s="83" t="str">
        <f>IF(H33&gt;10000000000,"Large",IF(AND(H33&gt;=5000000000,H33&lt;=10000000000),"Medium",IF(H33&lt;5000000000,"Small","N/A")))</f>
        <v>Large</v>
      </c>
      <c r="R33" s="166">
        <f>N33/SUM($N$11:$N$41)</f>
        <v>1.7358590713715535E-2</v>
      </c>
    </row>
    <row r="34" spans="2:18" ht="42">
      <c r="B34" s="77" t="s">
        <v>50</v>
      </c>
      <c r="C34" s="77" t="s">
        <v>158</v>
      </c>
      <c r="D34" s="77" t="s">
        <v>11</v>
      </c>
      <c r="E34" s="78">
        <v>50</v>
      </c>
      <c r="F34" s="79">
        <v>40291</v>
      </c>
      <c r="G34" s="80">
        <v>13.11</v>
      </c>
      <c r="H34" s="173">
        <v>50166800</v>
      </c>
      <c r="I34" s="174">
        <v>2.74</v>
      </c>
      <c r="J34" s="173">
        <v>2.76</v>
      </c>
      <c r="K34" s="39">
        <v>-89.3</v>
      </c>
      <c r="L34" s="157">
        <f>IF((E34*G34*0.01)&gt;28,28,(E34*G34*0.01))</f>
        <v>6.5549999999999997</v>
      </c>
      <c r="M34" s="156">
        <f>G34*E34+L34</f>
        <v>662.05499999999995</v>
      </c>
      <c r="N34" s="156">
        <f>I34*E34</f>
        <v>137</v>
      </c>
      <c r="O34" s="172">
        <f>(N34-M34)/M34</f>
        <v>-0.7930685517064292</v>
      </c>
      <c r="P34" s="158">
        <f>IF(K34&lt;=0,0,(I34/K34))</f>
        <v>0</v>
      </c>
      <c r="Q34" s="83" t="str">
        <f>IF(H34&gt;10000000000,"Large",IF(AND(H34&gt;=5000000000,H34&lt;=10000000000),"Medium",IF(H34&lt;5000000000,"Small","N/A")))</f>
        <v>Small</v>
      </c>
      <c r="R34" s="166">
        <f>N34/SUM($N$11:$N$41)</f>
        <v>5.6988423862425793E-4</v>
      </c>
    </row>
    <row r="35" spans="2:18" ht="28">
      <c r="B35" s="48" t="s">
        <v>92</v>
      </c>
      <c r="C35" s="77" t="s">
        <v>69</v>
      </c>
      <c r="D35" s="77" t="s">
        <v>8</v>
      </c>
      <c r="E35" s="78">
        <v>100</v>
      </c>
      <c r="F35" s="79">
        <v>40291</v>
      </c>
      <c r="G35" s="80">
        <v>69.41</v>
      </c>
      <c r="H35" s="173">
        <v>20590550000</v>
      </c>
      <c r="I35" s="174">
        <v>39.700000000000003</v>
      </c>
      <c r="J35" s="173">
        <v>39.25</v>
      </c>
      <c r="K35" s="39">
        <v>-6.52</v>
      </c>
      <c r="L35" s="157">
        <f>IF((E35*G35*0.01)&gt;28,28,(E35*G35*0.01))</f>
        <v>28</v>
      </c>
      <c r="M35" s="156">
        <f>G35*E35+L35</f>
        <v>6969</v>
      </c>
      <c r="N35" s="156">
        <f>I35*E35</f>
        <v>3970.0000000000005</v>
      </c>
      <c r="O35" s="172">
        <f>(N35-M35)/M35</f>
        <v>-0.43033433778160418</v>
      </c>
      <c r="P35" s="158">
        <f>IF(K35&lt;=0,0,(I35/K35))</f>
        <v>0</v>
      </c>
      <c r="Q35" s="83" t="str">
        <f>IF(H35&gt;10000000000,"Large",IF(AND(H35&gt;=5000000000,H35&lt;=10000000000),"Medium",IF(H35&lt;5000000000,"Small","N/A")))</f>
        <v>Large</v>
      </c>
      <c r="R35" s="166">
        <f>N35/SUM($N$11:$N$41)</f>
        <v>1.6514163703199299E-2</v>
      </c>
    </row>
    <row r="36" spans="2:18" ht="28">
      <c r="B36" s="77" t="s">
        <v>104</v>
      </c>
      <c r="C36" s="77" t="s">
        <v>76</v>
      </c>
      <c r="D36" s="77" t="s">
        <v>8</v>
      </c>
      <c r="E36" s="78">
        <v>50</v>
      </c>
      <c r="F36" s="79">
        <v>40291</v>
      </c>
      <c r="G36" s="80">
        <v>22.61</v>
      </c>
      <c r="H36" s="173">
        <v>3412743063</v>
      </c>
      <c r="I36" s="174">
        <v>11.77</v>
      </c>
      <c r="J36" s="173">
        <v>11.96</v>
      </c>
      <c r="K36" s="39">
        <v>-3.64</v>
      </c>
      <c r="L36" s="157">
        <f>IF((E36*G36*0.01)&gt;28,28,(E36*G36*0.01))</f>
        <v>11.305</v>
      </c>
      <c r="M36" s="156">
        <f>G36*E36+L36</f>
        <v>1141.8050000000001</v>
      </c>
      <c r="N36" s="156">
        <f>I36*E36</f>
        <v>588.5</v>
      </c>
      <c r="O36" s="172">
        <f>(N36-M36)/M36</f>
        <v>-0.48458799882641962</v>
      </c>
      <c r="P36" s="158">
        <f>IF(K36&lt;=0,0,(I36/K36))</f>
        <v>0</v>
      </c>
      <c r="Q36" s="83" t="str">
        <f>IF(H36&gt;10000000000,"Large",IF(AND(H36&gt;=5000000000,H36&lt;=10000000000),"Medium",IF(H36&lt;5000000000,"Small","N/A")))</f>
        <v>Small</v>
      </c>
      <c r="R36" s="166">
        <f>N36/SUM($N$11:$N$41)</f>
        <v>2.4480063827034726E-3</v>
      </c>
    </row>
    <row r="37" spans="2:18" ht="14">
      <c r="B37" s="77" t="s">
        <v>106</v>
      </c>
      <c r="C37" s="77" t="s">
        <v>155</v>
      </c>
      <c r="D37" s="77" t="s">
        <v>8</v>
      </c>
      <c r="E37" s="78">
        <v>100</v>
      </c>
      <c r="F37" s="79">
        <v>40291</v>
      </c>
      <c r="G37" s="80">
        <v>43.63</v>
      </c>
      <c r="H37" s="173">
        <v>1279686860</v>
      </c>
      <c r="I37" s="174">
        <v>5.31</v>
      </c>
      <c r="J37" s="173">
        <v>5.23</v>
      </c>
      <c r="K37" s="39">
        <v>-3.82</v>
      </c>
      <c r="L37" s="157">
        <f>IF((E37*G37*0.01)&gt;28,28,(E37*G37*0.01))</f>
        <v>28</v>
      </c>
      <c r="M37" s="156">
        <f>G37*E37+L37</f>
        <v>4391</v>
      </c>
      <c r="N37" s="156">
        <f>I37*E37</f>
        <v>531</v>
      </c>
      <c r="O37" s="172">
        <f>(N37-M37)/M37</f>
        <v>-0.87907082669095882</v>
      </c>
      <c r="P37" s="158">
        <f>IF(K37&lt;=0,0,(I37/K37))</f>
        <v>0</v>
      </c>
      <c r="Q37" s="83" t="str">
        <f>IF(H37&gt;10000000000,"Large",IF(AND(H37&gt;=5000000000,H37&lt;=10000000000),"Medium",IF(H37&lt;5000000000,"Small","N/A")))</f>
        <v>Small</v>
      </c>
      <c r="R37" s="166">
        <f>N37/SUM($N$11:$N$41)</f>
        <v>2.2088213920400069E-3</v>
      </c>
    </row>
    <row r="38" spans="2:18" ht="14">
      <c r="B38" s="48" t="s">
        <v>100</v>
      </c>
      <c r="C38" s="77" t="s">
        <v>150</v>
      </c>
      <c r="D38" s="77" t="s">
        <v>13</v>
      </c>
      <c r="E38" s="78">
        <v>200</v>
      </c>
      <c r="F38" s="79">
        <v>40291</v>
      </c>
      <c r="G38" s="80">
        <v>49.48</v>
      </c>
      <c r="H38" s="173">
        <v>6752919598</v>
      </c>
      <c r="I38" s="174">
        <v>40.76</v>
      </c>
      <c r="J38" s="173">
        <v>39.18</v>
      </c>
      <c r="K38" s="39">
        <v>3.11</v>
      </c>
      <c r="L38" s="157">
        <f>IF((E38*G38*0.01)&gt;28,28,(E38*G38*0.01))</f>
        <v>28</v>
      </c>
      <c r="M38" s="156">
        <f>G38*E38+L38</f>
        <v>9924</v>
      </c>
      <c r="N38" s="156">
        <f>I38*E38</f>
        <v>8152</v>
      </c>
      <c r="O38" s="172">
        <f>(N38-M38)/M38</f>
        <v>-0.17855703345425231</v>
      </c>
      <c r="P38" s="158">
        <f>IF(K38&lt;=0,0,(I38/K38))</f>
        <v>13.106109324758842</v>
      </c>
      <c r="Q38" s="83" t="str">
        <f>IF(H38&gt;10000000000,"Large",IF(AND(H38&gt;=5000000000,H38&lt;=10000000000),"Medium",IF(H38&lt;5000000000,"Small","N/A")))</f>
        <v>Medium</v>
      </c>
      <c r="R38" s="166">
        <f>N38/SUM($N$11:$N$41)</f>
        <v>3.3910192067627375E-2</v>
      </c>
    </row>
    <row r="39" spans="2:18" ht="14">
      <c r="B39" s="48" t="s">
        <v>165</v>
      </c>
      <c r="C39" s="77" t="s">
        <v>152</v>
      </c>
      <c r="D39" s="77" t="s">
        <v>13</v>
      </c>
      <c r="E39" s="78">
        <v>150</v>
      </c>
      <c r="F39" s="79">
        <v>40291</v>
      </c>
      <c r="G39" s="80">
        <v>29.48</v>
      </c>
      <c r="H39" s="173">
        <v>8877882353</v>
      </c>
      <c r="I39" s="174">
        <v>30.01</v>
      </c>
      <c r="J39" s="173">
        <v>29.09</v>
      </c>
      <c r="K39" s="39">
        <v>1.99</v>
      </c>
      <c r="L39" s="157">
        <f>IF((E39*G39*0.01)&gt;28,28,(E39*G39*0.01))</f>
        <v>28</v>
      </c>
      <c r="M39" s="156">
        <f>G39*E39+L39</f>
        <v>4450</v>
      </c>
      <c r="N39" s="156">
        <f>I39*E39</f>
        <v>4501.5</v>
      </c>
      <c r="O39" s="172">
        <f>(N39-M39)/M39</f>
        <v>1.1573033707865169E-2</v>
      </c>
      <c r="P39" s="158">
        <f>IF(K39&lt;=0,0,(I39/K39))</f>
        <v>15.080402010050252</v>
      </c>
      <c r="Q39" s="83" t="str">
        <f>IF(H39&gt;10000000000,"Large",IF(AND(H39&gt;=5000000000,H39&lt;=10000000000),"Medium",IF(H39&lt;5000000000,"Small","N/A")))</f>
        <v>Medium</v>
      </c>
      <c r="R39" s="166">
        <f>N39/SUM($N$11:$N$41)</f>
        <v>1.8725064964723336E-2</v>
      </c>
    </row>
    <row r="40" spans="2:18" ht="14">
      <c r="B40" s="77" t="s">
        <v>108</v>
      </c>
      <c r="C40" s="77" t="s">
        <v>156</v>
      </c>
      <c r="D40" s="77" t="s">
        <v>13</v>
      </c>
      <c r="E40" s="78">
        <v>150</v>
      </c>
      <c r="F40" s="79">
        <v>40291</v>
      </c>
      <c r="G40" s="80">
        <v>48.01</v>
      </c>
      <c r="H40" s="173">
        <v>49645861156</v>
      </c>
      <c r="I40" s="174">
        <v>78.17</v>
      </c>
      <c r="J40" s="173">
        <v>76.900000000000006</v>
      </c>
      <c r="K40" s="39">
        <v>3.46</v>
      </c>
      <c r="L40" s="157">
        <f>IF((E40*G40*0.01)&gt;28,28,(E40*G40*0.01))</f>
        <v>28</v>
      </c>
      <c r="M40" s="156">
        <f>G40*E40+L40</f>
        <v>7229.5</v>
      </c>
      <c r="N40" s="156">
        <f>I40*E40</f>
        <v>11725.5</v>
      </c>
      <c r="O40" s="172">
        <f>(N40-M40)/M40</f>
        <v>0.62189639670793273</v>
      </c>
      <c r="P40" s="158">
        <f>IF(K40&lt;=0,0,(I40/K40))</f>
        <v>22.592485549132949</v>
      </c>
      <c r="Q40" s="83" t="str">
        <f>IF(H40&gt;10000000000,"Large",IF(AND(H40&gt;=5000000000,H40&lt;=10000000000),"Medium",IF(H40&lt;5000000000,"Small","N/A")))</f>
        <v>Large</v>
      </c>
      <c r="R40" s="166">
        <f>N40/SUM($N$11:$N$41)</f>
        <v>4.8775019269990776E-2</v>
      </c>
    </row>
    <row r="41" spans="2:18" ht="14">
      <c r="B41" s="77" t="s">
        <v>109</v>
      </c>
      <c r="C41" s="77" t="s">
        <v>157</v>
      </c>
      <c r="D41" s="77" t="s">
        <v>13</v>
      </c>
      <c r="E41" s="78">
        <v>100</v>
      </c>
      <c r="F41" s="79">
        <v>40291</v>
      </c>
      <c r="G41" s="80">
        <v>56.53</v>
      </c>
      <c r="H41" s="173">
        <v>224654982481</v>
      </c>
      <c r="I41" s="174">
        <v>74.8</v>
      </c>
      <c r="J41" s="173">
        <v>74.069999999999993</v>
      </c>
      <c r="K41" s="39">
        <v>4.38</v>
      </c>
      <c r="L41" s="157">
        <f>IF((E41*G41*0.01)&gt;28,28,(E41*G41*0.01))</f>
        <v>28</v>
      </c>
      <c r="M41" s="156">
        <f>G41*E41+L41</f>
        <v>5681</v>
      </c>
      <c r="N41" s="156">
        <f>I41*E41</f>
        <v>7480</v>
      </c>
      <c r="O41" s="172">
        <f>(N41-M41)/M41</f>
        <v>0.31666960042246084</v>
      </c>
      <c r="P41" s="158">
        <f>IF(K41&lt;=0,0,(I41/K41))</f>
        <v>17.077625570776256</v>
      </c>
      <c r="Q41" s="83" t="str">
        <f>IF(H41&gt;10000000000,"Large",IF(AND(H41&gt;=5000000000,H41&lt;=10000000000),"Medium",IF(H41&lt;5000000000,"Small","N/A")))</f>
        <v>Large</v>
      </c>
      <c r="R41" s="166">
        <f>N41/SUM($N$11:$N$41)</f>
        <v>3.111484748109087E-2</v>
      </c>
    </row>
    <row r="42" spans="2:18">
      <c r="B42" s="241"/>
      <c r="C42" s="241"/>
      <c r="D42" s="241"/>
      <c r="E42" s="241"/>
      <c r="F42" s="241"/>
      <c r="G42" s="23"/>
      <c r="H42" s="241"/>
      <c r="I42" s="241"/>
      <c r="J42" s="23"/>
      <c r="K42" s="23"/>
      <c r="L42" s="71"/>
      <c r="M42" s="24"/>
      <c r="N42" s="24"/>
      <c r="O42" s="91"/>
      <c r="P42" s="23"/>
      <c r="Q42" s="241"/>
      <c r="R42" s="23"/>
    </row>
    <row r="43" spans="2:18">
      <c r="B43" s="241"/>
      <c r="C43" s="241"/>
      <c r="D43" s="241"/>
      <c r="E43" s="241"/>
      <c r="F43" s="241"/>
      <c r="G43" s="23"/>
      <c r="H43" s="241"/>
      <c r="I43" s="241"/>
      <c r="J43" s="23"/>
      <c r="K43" s="23"/>
      <c r="L43" s="241"/>
      <c r="M43" s="241"/>
      <c r="N43" s="241"/>
      <c r="O43" s="23"/>
      <c r="P43" s="23"/>
      <c r="Q43" s="241"/>
      <c r="R43" s="23"/>
    </row>
    <row r="44" spans="2:18">
      <c r="B44" s="136" t="s">
        <v>190</v>
      </c>
      <c r="C44" s="241"/>
      <c r="D44" s="241"/>
      <c r="E44" s="241"/>
      <c r="F44" s="241"/>
      <c r="G44" s="23"/>
      <c r="H44" s="241"/>
      <c r="I44" s="241"/>
      <c r="J44" s="23"/>
      <c r="K44" s="23"/>
      <c r="L44" s="241"/>
      <c r="M44" s="241"/>
      <c r="N44" s="241"/>
      <c r="O44" s="23"/>
      <c r="P44" s="23"/>
      <c r="Q44" s="241"/>
      <c r="R44" s="23"/>
    </row>
    <row r="45" spans="2:18" ht="16">
      <c r="B45" s="31" t="s">
        <v>27</v>
      </c>
      <c r="C45" s="32"/>
      <c r="D45" s="241"/>
      <c r="E45" s="241"/>
      <c r="F45" s="241"/>
      <c r="G45" s="23"/>
      <c r="H45" s="241"/>
      <c r="I45" s="241"/>
      <c r="J45" s="23"/>
      <c r="K45" s="23"/>
      <c r="L45" s="241"/>
      <c r="M45" s="241"/>
      <c r="N45" s="241"/>
      <c r="O45" s="23"/>
      <c r="P45" s="23"/>
      <c r="Q45" s="241"/>
      <c r="R45" s="23"/>
    </row>
    <row r="46" spans="2:18">
      <c r="B46" s="138" t="s">
        <v>28</v>
      </c>
      <c r="C46" s="139" t="s">
        <v>28</v>
      </c>
      <c r="D46" s="241"/>
      <c r="E46" s="241"/>
      <c r="F46" s="241"/>
      <c r="G46" s="23"/>
      <c r="H46" s="241"/>
      <c r="I46" s="241"/>
      <c r="J46" s="23"/>
      <c r="K46" s="23"/>
      <c r="L46" s="241"/>
      <c r="M46" s="241"/>
      <c r="N46" s="241"/>
      <c r="O46" s="171">
        <f>((SUM(N11:N41)-SUM(M11:M41))/SUM(M11:M41))</f>
        <v>0.41404038091448492</v>
      </c>
      <c r="P46" s="23"/>
      <c r="Q46" s="241"/>
      <c r="R46" s="23"/>
    </row>
    <row r="47" spans="2:18">
      <c r="B47" s="33" t="s">
        <v>29</v>
      </c>
      <c r="C47" s="134" t="s">
        <v>29</v>
      </c>
      <c r="D47" s="241"/>
      <c r="E47" s="241"/>
      <c r="F47" s="241"/>
      <c r="G47" s="160">
        <f>AVERAGE(G11:G41)</f>
        <v>42.089032258064513</v>
      </c>
      <c r="H47" s="241"/>
      <c r="I47" s="241"/>
      <c r="J47" s="23"/>
      <c r="K47" s="23"/>
      <c r="L47" s="241"/>
      <c r="M47" s="241"/>
      <c r="N47" s="160">
        <f>AVERAGE(N11:N41)</f>
        <v>7754.8290322580642</v>
      </c>
      <c r="O47" s="163">
        <f>AVERAGE(O11:O41)</f>
        <v>0.36404895485827776</v>
      </c>
      <c r="P47" s="137">
        <f>AVERAGE(P11:P41)</f>
        <v>19.873528105364919</v>
      </c>
      <c r="Q47" s="241"/>
      <c r="R47" s="23"/>
    </row>
    <row r="48" spans="2:18">
      <c r="B48" s="140" t="s">
        <v>30</v>
      </c>
      <c r="C48" s="141" t="s">
        <v>30</v>
      </c>
      <c r="D48" s="241"/>
      <c r="E48" s="241"/>
      <c r="F48" s="241"/>
      <c r="G48" s="161">
        <f>MAX(G11:G41)</f>
        <v>126.99</v>
      </c>
      <c r="H48" s="241"/>
      <c r="I48" s="241"/>
      <c r="J48" s="161">
        <f>MAX(J11:J41)</f>
        <v>164.4</v>
      </c>
      <c r="K48" s="161">
        <f>MAX(K11:K41)</f>
        <v>12.38</v>
      </c>
      <c r="L48" s="49"/>
      <c r="M48" s="49"/>
      <c r="N48" s="161">
        <f>MAX(N11:N41)</f>
        <v>40680</v>
      </c>
      <c r="O48" s="164">
        <f>MAX(O11:O41)</f>
        <v>1.6756247053276754</v>
      </c>
      <c r="P48" s="142">
        <f>MAX(P11:P41)</f>
        <v>110.02702702702703</v>
      </c>
      <c r="Q48" s="241"/>
      <c r="R48" s="143">
        <f>MAX(R11:R41)</f>
        <v>0.16921818122069204</v>
      </c>
    </row>
    <row r="49" spans="1:18">
      <c r="B49" s="144" t="s">
        <v>31</v>
      </c>
      <c r="C49" s="145" t="s">
        <v>184</v>
      </c>
      <c r="D49" s="241"/>
      <c r="E49" s="241"/>
      <c r="F49" s="241"/>
      <c r="G49" s="162">
        <f>MIN(G11:G41)</f>
        <v>10.48</v>
      </c>
      <c r="H49" s="241"/>
      <c r="I49" s="241"/>
      <c r="J49" s="162">
        <f>MIN(J11:J41)</f>
        <v>2.76</v>
      </c>
      <c r="K49" s="162">
        <f>MIN(K11:K41)</f>
        <v>-89.3</v>
      </c>
      <c r="L49" s="49"/>
      <c r="M49" s="49"/>
      <c r="N49" s="162">
        <f>MIN(N11:N41)</f>
        <v>137</v>
      </c>
      <c r="O49" s="165">
        <f>MIN(O11:O41)</f>
        <v>-0.87907082669095882</v>
      </c>
      <c r="P49" s="147">
        <f>MIN(P11:P41)</f>
        <v>0</v>
      </c>
      <c r="Q49" s="241"/>
      <c r="R49" s="146">
        <f>MIN(R11:R41)</f>
        <v>5.6988423862425793E-4</v>
      </c>
    </row>
    <row r="51" spans="1:18">
      <c r="A51" s="1" t="s">
        <v>272</v>
      </c>
      <c r="B51" s="241"/>
      <c r="C51" s="241"/>
      <c r="D51" s="241"/>
      <c r="E51" s="241"/>
      <c r="F51" s="241"/>
      <c r="G51" s="241"/>
    </row>
    <row r="52" spans="1:18">
      <c r="A52" s="1" t="s">
        <v>375</v>
      </c>
      <c r="B52" s="241"/>
      <c r="C52" s="241"/>
      <c r="D52" s="241"/>
      <c r="E52" s="241"/>
      <c r="F52" s="241"/>
      <c r="G52" s="241"/>
    </row>
    <row r="53" spans="1:18">
      <c r="A53" s="1" t="s">
        <v>376</v>
      </c>
      <c r="B53" s="241"/>
      <c r="C53" s="241"/>
      <c r="D53" s="241"/>
      <c r="E53" s="241"/>
      <c r="F53" s="241"/>
      <c r="G53" s="241"/>
      <c r="I53" s="82" t="s">
        <v>386</v>
      </c>
    </row>
    <row r="54" spans="1:18">
      <c r="A54" s="1" t="s">
        <v>275</v>
      </c>
      <c r="B54" s="241"/>
      <c r="C54" s="241"/>
      <c r="D54" s="241"/>
      <c r="E54" s="241"/>
      <c r="F54" s="241"/>
      <c r="G54" s="241"/>
      <c r="I54" s="315" t="s">
        <v>387</v>
      </c>
      <c r="J54" s="315"/>
      <c r="K54" s="315"/>
      <c r="L54" s="315"/>
      <c r="M54" s="315"/>
    </row>
    <row r="55" spans="1:18">
      <c r="A55" s="1" t="s">
        <v>276</v>
      </c>
      <c r="B55" s="241"/>
      <c r="C55" s="241"/>
      <c r="D55" s="241"/>
      <c r="E55" s="241"/>
      <c r="F55" s="241"/>
      <c r="G55" s="241"/>
      <c r="I55" s="317" t="s">
        <v>388</v>
      </c>
      <c r="J55" s="317"/>
      <c r="K55" s="317"/>
      <c r="L55" s="317"/>
      <c r="M55" s="317"/>
    </row>
    <row r="56" spans="1:18">
      <c r="A56" s="1"/>
      <c r="B56" s="241" t="s">
        <v>277</v>
      </c>
      <c r="C56" s="241"/>
      <c r="D56" s="241"/>
      <c r="E56" s="241"/>
      <c r="F56" s="241"/>
      <c r="G56" s="241"/>
      <c r="I56" s="317"/>
      <c r="J56" s="317"/>
      <c r="K56" s="317"/>
      <c r="L56" s="317"/>
      <c r="M56" s="317"/>
    </row>
    <row r="57" spans="1:18">
      <c r="A57" s="1"/>
      <c r="B57" s="241" t="s">
        <v>377</v>
      </c>
      <c r="C57" s="241"/>
      <c r="D57" s="241"/>
      <c r="E57" s="241"/>
      <c r="F57" s="241"/>
      <c r="G57" s="241"/>
    </row>
    <row r="58" spans="1:18">
      <c r="A58" s="1"/>
      <c r="B58" s="241" t="s">
        <v>378</v>
      </c>
      <c r="C58" s="241"/>
      <c r="D58" s="241"/>
      <c r="E58" s="241"/>
      <c r="F58" s="241"/>
      <c r="G58" s="241"/>
    </row>
    <row r="59" spans="1:18">
      <c r="A59" s="1" t="s">
        <v>280</v>
      </c>
      <c r="B59" s="241"/>
      <c r="C59" s="241"/>
      <c r="D59" s="241"/>
      <c r="E59" s="241"/>
      <c r="F59" s="241"/>
      <c r="G59" s="241"/>
    </row>
    <row r="60" spans="1:18">
      <c r="A60" s="241"/>
      <c r="B60" s="241" t="s">
        <v>281</v>
      </c>
      <c r="C60" s="241"/>
      <c r="D60" s="241"/>
      <c r="E60" s="241"/>
      <c r="F60" s="241"/>
      <c r="G60" s="241"/>
    </row>
    <row r="61" spans="1:18">
      <c r="A61" s="241"/>
      <c r="B61" s="241" t="s">
        <v>282</v>
      </c>
      <c r="C61" s="241"/>
      <c r="D61" s="241"/>
      <c r="E61" s="241"/>
      <c r="F61" s="241"/>
      <c r="G61" s="241"/>
    </row>
    <row r="62" spans="1:18">
      <c r="A62" s="241"/>
      <c r="B62" s="241" t="s">
        <v>283</v>
      </c>
      <c r="C62" s="241"/>
      <c r="D62" s="241"/>
      <c r="E62" s="241"/>
      <c r="F62" s="241"/>
      <c r="G62" s="241"/>
    </row>
    <row r="63" spans="1:18">
      <c r="A63" s="241"/>
      <c r="B63" s="241"/>
      <c r="C63" s="241"/>
      <c r="D63" s="241"/>
      <c r="E63" s="241"/>
      <c r="F63" s="241"/>
      <c r="G63" s="241"/>
    </row>
    <row r="64" spans="1:18" ht="14" thickBot="1">
      <c r="A64" s="241" t="s">
        <v>379</v>
      </c>
      <c r="B64" s="241"/>
      <c r="C64" s="241"/>
      <c r="D64" s="241"/>
      <c r="E64" s="241"/>
      <c r="F64" s="241"/>
      <c r="G64" s="241"/>
    </row>
    <row r="65" spans="1:7" ht="14" thickBot="1">
      <c r="A65" s="241"/>
      <c r="B65" s="307" t="s">
        <v>285</v>
      </c>
      <c r="C65" s="307" t="s">
        <v>136</v>
      </c>
      <c r="D65" s="307" t="s">
        <v>286</v>
      </c>
      <c r="E65" s="307" t="s">
        <v>287</v>
      </c>
      <c r="F65" s="241"/>
      <c r="G65" s="241"/>
    </row>
    <row r="66" spans="1:7" ht="14" thickBot="1">
      <c r="A66" s="241"/>
      <c r="B66" s="306" t="s">
        <v>242</v>
      </c>
      <c r="C66" s="306" t="s">
        <v>237</v>
      </c>
      <c r="D66" s="309">
        <v>0.29893658374748783</v>
      </c>
      <c r="E66" s="309">
        <v>0.41404038091448492</v>
      </c>
      <c r="F66" s="241"/>
      <c r="G66" s="241"/>
    </row>
    <row r="67" spans="1:7">
      <c r="A67" s="241"/>
      <c r="B67" s="241"/>
      <c r="C67" s="241"/>
      <c r="D67" s="241"/>
      <c r="E67" s="241"/>
      <c r="F67" s="241"/>
      <c r="G67" s="241"/>
    </row>
    <row r="68" spans="1:7">
      <c r="A68" s="241"/>
      <c r="B68" s="241"/>
      <c r="C68" s="241"/>
      <c r="D68" s="241"/>
      <c r="E68" s="241"/>
      <c r="F68" s="241"/>
      <c r="G68" s="241"/>
    </row>
    <row r="69" spans="1:7" ht="14" thickBot="1">
      <c r="A69" s="241" t="s">
        <v>288</v>
      </c>
      <c r="B69" s="241"/>
      <c r="C69" s="241"/>
      <c r="D69" s="241"/>
      <c r="E69" s="241"/>
      <c r="F69" s="241"/>
      <c r="G69" s="241"/>
    </row>
    <row r="70" spans="1:7" ht="14" thickBot="1">
      <c r="A70" s="241"/>
      <c r="B70" s="307" t="s">
        <v>285</v>
      </c>
      <c r="C70" s="307" t="s">
        <v>136</v>
      </c>
      <c r="D70" s="307" t="s">
        <v>286</v>
      </c>
      <c r="E70" s="307" t="s">
        <v>287</v>
      </c>
      <c r="F70" s="307" t="s">
        <v>289</v>
      </c>
      <c r="G70" s="241"/>
    </row>
    <row r="71" spans="1:7">
      <c r="A71" s="241"/>
      <c r="B71" s="308" t="s">
        <v>309</v>
      </c>
      <c r="C71" s="308" t="s">
        <v>296</v>
      </c>
      <c r="D71" s="310">
        <v>100</v>
      </c>
      <c r="E71" s="310">
        <v>250</v>
      </c>
      <c r="F71" s="308" t="s">
        <v>289</v>
      </c>
      <c r="G71" s="241"/>
    </row>
    <row r="72" spans="1:7">
      <c r="A72" s="241"/>
      <c r="B72" s="308" t="s">
        <v>310</v>
      </c>
      <c r="C72" s="308" t="s">
        <v>296</v>
      </c>
      <c r="D72" s="310">
        <v>100</v>
      </c>
      <c r="E72" s="310">
        <v>250</v>
      </c>
      <c r="F72" s="308" t="s">
        <v>289</v>
      </c>
      <c r="G72" s="241"/>
    </row>
    <row r="73" spans="1:7">
      <c r="A73" s="241"/>
      <c r="B73" s="308" t="s">
        <v>311</v>
      </c>
      <c r="C73" s="308" t="s">
        <v>296</v>
      </c>
      <c r="D73" s="310">
        <v>150</v>
      </c>
      <c r="E73" s="310">
        <v>250</v>
      </c>
      <c r="F73" s="308" t="s">
        <v>289</v>
      </c>
      <c r="G73" s="241"/>
    </row>
    <row r="74" spans="1:7">
      <c r="A74" s="241"/>
      <c r="B74" s="308" t="s">
        <v>313</v>
      </c>
      <c r="C74" s="308" t="s">
        <v>296</v>
      </c>
      <c r="D74" s="310">
        <v>88</v>
      </c>
      <c r="E74" s="310">
        <v>250</v>
      </c>
      <c r="F74" s="308" t="s">
        <v>289</v>
      </c>
      <c r="G74" s="241"/>
    </row>
    <row r="75" spans="1:7" ht="14" thickBot="1">
      <c r="A75" s="241"/>
      <c r="B75" s="306" t="s">
        <v>314</v>
      </c>
      <c r="C75" s="306" t="s">
        <v>296</v>
      </c>
      <c r="D75" s="311">
        <v>50</v>
      </c>
      <c r="E75" s="311">
        <v>250</v>
      </c>
      <c r="F75" s="306" t="s">
        <v>289</v>
      </c>
      <c r="G75" s="241"/>
    </row>
    <row r="76" spans="1:7">
      <c r="A76" s="241"/>
      <c r="B76" s="241"/>
      <c r="C76" s="241"/>
      <c r="D76" s="241"/>
      <c r="E76" s="241"/>
      <c r="F76" s="241"/>
      <c r="G76" s="241"/>
    </row>
    <row r="77" spans="1:7">
      <c r="A77" s="241"/>
      <c r="B77" s="241"/>
      <c r="C77" s="241"/>
      <c r="D77" s="241"/>
      <c r="E77" s="241"/>
      <c r="F77" s="241"/>
      <c r="G77" s="241"/>
    </row>
    <row r="78" spans="1:7" ht="14" thickBot="1">
      <c r="A78" s="241" t="s">
        <v>290</v>
      </c>
      <c r="B78" s="241"/>
      <c r="C78" s="241"/>
      <c r="D78" s="241"/>
      <c r="E78" s="241"/>
      <c r="F78" s="241"/>
      <c r="G78" s="241"/>
    </row>
    <row r="79" spans="1:7" ht="14" thickBot="1">
      <c r="A79" s="241"/>
      <c r="B79" s="307" t="s">
        <v>285</v>
      </c>
      <c r="C79" s="307" t="s">
        <v>136</v>
      </c>
      <c r="D79" s="307" t="s">
        <v>291</v>
      </c>
      <c r="E79" s="307" t="s">
        <v>292</v>
      </c>
      <c r="F79" s="307" t="s">
        <v>293</v>
      </c>
      <c r="G79" s="307" t="s">
        <v>294</v>
      </c>
    </row>
    <row r="80" spans="1:7">
      <c r="A80" s="241"/>
      <c r="B80" s="308" t="s">
        <v>309</v>
      </c>
      <c r="C80" s="308" t="s">
        <v>296</v>
      </c>
      <c r="D80" s="310">
        <v>250</v>
      </c>
      <c r="E80" s="308" t="s">
        <v>380</v>
      </c>
      <c r="F80" s="308" t="s">
        <v>334</v>
      </c>
      <c r="G80" s="308">
        <v>0</v>
      </c>
    </row>
    <row r="81" spans="1:7">
      <c r="A81" s="241"/>
      <c r="B81" s="308" t="s">
        <v>310</v>
      </c>
      <c r="C81" s="308" t="s">
        <v>296</v>
      </c>
      <c r="D81" s="310">
        <v>250</v>
      </c>
      <c r="E81" s="308" t="s">
        <v>381</v>
      </c>
      <c r="F81" s="308" t="s">
        <v>334</v>
      </c>
      <c r="G81" s="308">
        <v>0</v>
      </c>
    </row>
    <row r="82" spans="1:7">
      <c r="A82" s="241"/>
      <c r="B82" s="308" t="s">
        <v>311</v>
      </c>
      <c r="C82" s="308" t="s">
        <v>296</v>
      </c>
      <c r="D82" s="310">
        <v>250</v>
      </c>
      <c r="E82" s="308" t="s">
        <v>382</v>
      </c>
      <c r="F82" s="308" t="s">
        <v>334</v>
      </c>
      <c r="G82" s="308">
        <v>0</v>
      </c>
    </row>
    <row r="83" spans="1:7">
      <c r="A83" s="241"/>
      <c r="B83" s="308" t="s">
        <v>313</v>
      </c>
      <c r="C83" s="308" t="s">
        <v>296</v>
      </c>
      <c r="D83" s="310">
        <v>250</v>
      </c>
      <c r="E83" s="308" t="s">
        <v>383</v>
      </c>
      <c r="F83" s="308" t="s">
        <v>334</v>
      </c>
      <c r="G83" s="308">
        <v>0</v>
      </c>
    </row>
    <row r="84" spans="1:7">
      <c r="A84" s="241"/>
      <c r="B84" s="308" t="s">
        <v>314</v>
      </c>
      <c r="C84" s="308" t="s">
        <v>296</v>
      </c>
      <c r="D84" s="310">
        <v>250</v>
      </c>
      <c r="E84" s="308" t="s">
        <v>384</v>
      </c>
      <c r="F84" s="308" t="s">
        <v>334</v>
      </c>
      <c r="G84" s="308">
        <v>0</v>
      </c>
    </row>
    <row r="85" spans="1:7">
      <c r="A85" s="241"/>
      <c r="B85" s="308" t="s">
        <v>309</v>
      </c>
      <c r="C85" s="308" t="s">
        <v>296</v>
      </c>
      <c r="D85" s="310">
        <v>250</v>
      </c>
      <c r="E85" s="308" t="s">
        <v>346</v>
      </c>
      <c r="F85" s="308" t="s">
        <v>336</v>
      </c>
      <c r="G85" s="310">
        <v>250</v>
      </c>
    </row>
    <row r="86" spans="1:7">
      <c r="A86" s="241"/>
      <c r="B86" s="308" t="s">
        <v>310</v>
      </c>
      <c r="C86" s="308" t="s">
        <v>296</v>
      </c>
      <c r="D86" s="310">
        <v>250</v>
      </c>
      <c r="E86" s="308" t="s">
        <v>347</v>
      </c>
      <c r="F86" s="308" t="s">
        <v>336</v>
      </c>
      <c r="G86" s="310">
        <v>250</v>
      </c>
    </row>
    <row r="87" spans="1:7">
      <c r="A87" s="241"/>
      <c r="B87" s="308" t="s">
        <v>311</v>
      </c>
      <c r="C87" s="308" t="s">
        <v>296</v>
      </c>
      <c r="D87" s="310">
        <v>250</v>
      </c>
      <c r="E87" s="308" t="s">
        <v>348</v>
      </c>
      <c r="F87" s="308" t="s">
        <v>336</v>
      </c>
      <c r="G87" s="310">
        <v>250</v>
      </c>
    </row>
    <row r="88" spans="1:7">
      <c r="A88" s="241"/>
      <c r="B88" s="308" t="s">
        <v>313</v>
      </c>
      <c r="C88" s="308" t="s">
        <v>296</v>
      </c>
      <c r="D88" s="310">
        <v>250</v>
      </c>
      <c r="E88" s="308" t="s">
        <v>349</v>
      </c>
      <c r="F88" s="308" t="s">
        <v>336</v>
      </c>
      <c r="G88" s="310">
        <v>250</v>
      </c>
    </row>
    <row r="89" spans="1:7">
      <c r="A89" s="241"/>
      <c r="B89" s="308" t="s">
        <v>314</v>
      </c>
      <c r="C89" s="308" t="s">
        <v>296</v>
      </c>
      <c r="D89" s="310">
        <v>250</v>
      </c>
      <c r="E89" s="308" t="s">
        <v>350</v>
      </c>
      <c r="F89" s="308" t="s">
        <v>336</v>
      </c>
      <c r="G89" s="310">
        <v>250</v>
      </c>
    </row>
    <row r="90" spans="1:7" ht="14" thickBot="1">
      <c r="A90" s="241"/>
      <c r="B90" s="306" t="s">
        <v>385</v>
      </c>
      <c r="C90" s="306"/>
      <c r="D90" s="306"/>
      <c r="E90" s="306"/>
      <c r="F90" s="306"/>
      <c r="G90" s="306"/>
    </row>
    <row r="93" spans="1:7">
      <c r="B93" s="324" t="s">
        <v>428</v>
      </c>
      <c r="C93" s="324"/>
      <c r="D93" s="324"/>
      <c r="E93" s="324"/>
    </row>
    <row r="94" spans="1:7">
      <c r="B94" s="324"/>
      <c r="C94" s="324"/>
      <c r="D94" s="324"/>
      <c r="E94" s="324"/>
    </row>
  </sheetData>
  <sortState xmlns:xlrd2="http://schemas.microsoft.com/office/spreadsheetml/2017/richdata2" ref="B11:R41">
    <sortCondition ref="D11:D41"/>
  </sortState>
  <mergeCells count="3">
    <mergeCell ref="I54:M54"/>
    <mergeCell ref="I55:M56"/>
    <mergeCell ref="B93:E94"/>
  </mergeCells>
  <pageMargins left="0.7" right="0.7" top="0.75" bottom="0.75" header="0.3" footer="0.3"/>
  <pageSetup orientation="portrait" horizontalDpi="0" verticalDpi="0"/>
  <headerFooter>
    <oddHeader>&amp;CStephanie Agbenorhevi</oddHead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dimension ref="A10:R64"/>
  <sheetViews>
    <sheetView view="pageLayout" zoomScaleNormal="100" workbookViewId="0">
      <selection activeCell="F4" sqref="F4"/>
    </sheetView>
  </sheetViews>
  <sheetFormatPr baseColWidth="10" defaultColWidth="8.83203125" defaultRowHeight="13"/>
  <cols>
    <col min="3" max="3" width="16.5" customWidth="1"/>
    <col min="4" max="4" width="16.6640625" customWidth="1"/>
    <col min="5" max="5" width="17.6640625" customWidth="1"/>
    <col min="6" max="6" width="14.33203125" customWidth="1"/>
    <col min="7" max="7" width="14.1640625" customWidth="1"/>
    <col min="8" max="8" width="20.1640625" customWidth="1"/>
    <col min="9" max="9" width="11.33203125" customWidth="1"/>
    <col min="10" max="10" width="14.83203125" customWidth="1"/>
    <col min="11" max="11" width="17" customWidth="1"/>
    <col min="12" max="12" width="12.5" customWidth="1"/>
    <col min="13" max="13" width="13.1640625" customWidth="1"/>
    <col min="14" max="14" width="14.1640625" customWidth="1"/>
    <col min="17" max="17" width="19.1640625" customWidth="1"/>
    <col min="18" max="18" width="17.5" customWidth="1"/>
  </cols>
  <sheetData>
    <row r="10" spans="1:18">
      <c r="A10" s="167"/>
      <c r="B10" s="83" t="s">
        <v>0</v>
      </c>
      <c r="C10" s="83" t="s">
        <v>1</v>
      </c>
      <c r="D10" s="83" t="s">
        <v>2</v>
      </c>
      <c r="E10" s="83" t="s">
        <v>3</v>
      </c>
      <c r="F10" s="83" t="s">
        <v>4</v>
      </c>
      <c r="G10" s="83" t="s">
        <v>5</v>
      </c>
      <c r="H10" s="83" t="s">
        <v>16</v>
      </c>
      <c r="I10" s="83" t="s">
        <v>17</v>
      </c>
      <c r="J10" s="83" t="s">
        <v>18</v>
      </c>
      <c r="K10" s="83" t="s">
        <v>19</v>
      </c>
      <c r="L10" s="83" t="s">
        <v>20</v>
      </c>
      <c r="M10" s="83" t="s">
        <v>21</v>
      </c>
      <c r="N10" s="83" t="s">
        <v>23</v>
      </c>
      <c r="O10" s="83" t="s">
        <v>24</v>
      </c>
      <c r="P10" s="83" t="s">
        <v>25</v>
      </c>
      <c r="Q10" s="83" t="s">
        <v>26</v>
      </c>
      <c r="R10" s="83" t="s">
        <v>22</v>
      </c>
    </row>
    <row r="11" spans="1:18">
      <c r="A11" s="167">
        <v>1</v>
      </c>
      <c r="B11" s="45" t="s">
        <v>171</v>
      </c>
      <c r="C11" s="45" t="s">
        <v>174</v>
      </c>
      <c r="D11" s="45" t="s">
        <v>12</v>
      </c>
      <c r="E11" s="45">
        <v>100</v>
      </c>
      <c r="F11" s="120">
        <v>40291</v>
      </c>
      <c r="G11" s="119">
        <v>28.53</v>
      </c>
      <c r="H11" s="173">
        <v>75323415209</v>
      </c>
      <c r="I11" s="174">
        <v>43.98</v>
      </c>
      <c r="J11" s="173">
        <v>43.59</v>
      </c>
      <c r="K11" s="39">
        <v>0.94</v>
      </c>
      <c r="L11" s="157">
        <f>IF((E11*G11*0.01)&gt;28,28,(E11*G11*0.01))</f>
        <v>28</v>
      </c>
      <c r="M11" s="156">
        <f>G11*E11+L11</f>
        <v>2881</v>
      </c>
      <c r="N11" s="156">
        <f>I11*E11</f>
        <v>4398</v>
      </c>
      <c r="O11" s="172">
        <f>(N11-M11)/M11</f>
        <v>0.5265532801110725</v>
      </c>
      <c r="P11" s="158">
        <f>IF(K11&lt;=0,0,(I11/K11))</f>
        <v>46.787234042553187</v>
      </c>
      <c r="Q11" s="83" t="str">
        <f>IF(H11&gt;10000000000,"Large",IF(AND(H11&gt;=5000000000,H11&lt;=10000000000),"Medium",IF(H11&lt;5000000000,"Small","N/A")))</f>
        <v>Large</v>
      </c>
      <c r="R11" s="166">
        <f>N11/SUM($N$11:$N$41)</f>
        <v>2.5994020075090683E-2</v>
      </c>
    </row>
    <row r="12" spans="1:18" ht="14">
      <c r="A12" s="167">
        <v>2</v>
      </c>
      <c r="B12" s="48" t="s">
        <v>177</v>
      </c>
      <c r="C12" s="77" t="s">
        <v>144</v>
      </c>
      <c r="D12" s="45" t="s">
        <v>12</v>
      </c>
      <c r="E12" s="78">
        <v>100</v>
      </c>
      <c r="F12" s="79">
        <v>40291</v>
      </c>
      <c r="G12" s="80">
        <v>105.48</v>
      </c>
      <c r="H12" s="246">
        <v>123606162095</v>
      </c>
      <c r="I12" s="38">
        <v>162.72</v>
      </c>
      <c r="J12" s="39">
        <v>164.4</v>
      </c>
      <c r="K12" s="39">
        <v>9.06</v>
      </c>
      <c r="L12" s="157">
        <f t="shared" ref="L12:L41" si="0">IF((E12*G12*0.01)&gt;28,28,(E12*G12*0.01))</f>
        <v>28</v>
      </c>
      <c r="M12" s="156">
        <f t="shared" ref="M12:M41" si="1">G12*E12+L12</f>
        <v>10576</v>
      </c>
      <c r="N12" s="156">
        <f t="shared" ref="N12:N41" si="2">I12*E12</f>
        <v>16272</v>
      </c>
      <c r="O12" s="172">
        <f t="shared" ref="O12:O41" si="3">(N12-M12)/M12</f>
        <v>0.53857791225416041</v>
      </c>
      <c r="P12" s="158">
        <f t="shared" ref="P12:P41" si="4">IF(K12&lt;=0,0,(I12/K12))</f>
        <v>17.960264900662249</v>
      </c>
      <c r="Q12" s="83" t="str">
        <f t="shared" ref="Q12:Q41" si="5">IF(H12&gt;10000000000,"Large",IF(AND(H12&gt;=5000000000,H12&lt;=10000000000),"Medium",IF(H12&lt;5000000000,"Small","N/A")))</f>
        <v>Large</v>
      </c>
      <c r="R12" s="166">
        <f t="shared" ref="R12:R41" si="6">N12/SUM($N$11:$N$41)</f>
        <v>9.6174328026802092E-2</v>
      </c>
    </row>
    <row r="13" spans="1:18" ht="14">
      <c r="A13" s="167">
        <v>3</v>
      </c>
      <c r="B13" s="48" t="s">
        <v>168</v>
      </c>
      <c r="C13" s="77" t="s">
        <v>66</v>
      </c>
      <c r="D13" s="77" t="s">
        <v>6</v>
      </c>
      <c r="E13" s="78">
        <v>100</v>
      </c>
      <c r="F13" s="79">
        <v>40291</v>
      </c>
      <c r="G13" s="80">
        <v>67.88</v>
      </c>
      <c r="H13" s="173">
        <v>15857072051</v>
      </c>
      <c r="I13" s="174">
        <v>99.59</v>
      </c>
      <c r="J13" s="173">
        <v>98.04</v>
      </c>
      <c r="K13" s="39">
        <v>5.59</v>
      </c>
      <c r="L13" s="157">
        <f t="shared" si="0"/>
        <v>28</v>
      </c>
      <c r="M13" s="156">
        <f t="shared" si="1"/>
        <v>6816</v>
      </c>
      <c r="N13" s="156">
        <f t="shared" si="2"/>
        <v>9959</v>
      </c>
      <c r="O13" s="172">
        <f t="shared" si="3"/>
        <v>0.46112089201877932</v>
      </c>
      <c r="P13" s="158">
        <f t="shared" si="4"/>
        <v>17.815742397137747</v>
      </c>
      <c r="Q13" s="83" t="str">
        <f t="shared" si="5"/>
        <v>Large</v>
      </c>
      <c r="R13" s="166">
        <f t="shared" si="6"/>
        <v>5.8861856736659411E-2</v>
      </c>
    </row>
    <row r="14" spans="1:18" ht="14">
      <c r="A14" s="167">
        <v>4</v>
      </c>
      <c r="B14" s="48" t="s">
        <v>91</v>
      </c>
      <c r="C14" s="77" t="s">
        <v>145</v>
      </c>
      <c r="D14" s="77" t="s">
        <v>7</v>
      </c>
      <c r="E14" s="78">
        <v>100</v>
      </c>
      <c r="F14" s="79">
        <v>40291</v>
      </c>
      <c r="G14" s="80">
        <v>34.46</v>
      </c>
      <c r="H14" s="173">
        <v>17434838571</v>
      </c>
      <c r="I14" s="174">
        <v>57.5</v>
      </c>
      <c r="J14" s="173">
        <v>57.28</v>
      </c>
      <c r="K14" s="39">
        <v>1.61</v>
      </c>
      <c r="L14" s="157">
        <f t="shared" si="0"/>
        <v>28</v>
      </c>
      <c r="M14" s="156">
        <f t="shared" si="1"/>
        <v>3474</v>
      </c>
      <c r="N14" s="156">
        <f t="shared" si="2"/>
        <v>5750</v>
      </c>
      <c r="O14" s="172">
        <f t="shared" si="3"/>
        <v>0.65515256188831317</v>
      </c>
      <c r="P14" s="158">
        <f t="shared" si="4"/>
        <v>35.714285714285715</v>
      </c>
      <c r="Q14" s="83" t="str">
        <f t="shared" si="5"/>
        <v>Large</v>
      </c>
      <c r="R14" s="166">
        <f t="shared" si="6"/>
        <v>3.3984905737101279E-2</v>
      </c>
    </row>
    <row r="15" spans="1:18" ht="14">
      <c r="A15" s="167">
        <v>5</v>
      </c>
      <c r="B15" s="48" t="s">
        <v>44</v>
      </c>
      <c r="C15" s="77" t="s">
        <v>80</v>
      </c>
      <c r="D15" s="77" t="s">
        <v>7</v>
      </c>
      <c r="E15" s="78">
        <v>200</v>
      </c>
      <c r="F15" s="79">
        <v>40291</v>
      </c>
      <c r="G15" s="80">
        <v>23.15</v>
      </c>
      <c r="H15" s="173">
        <v>17224304201</v>
      </c>
      <c r="I15" s="174">
        <v>40.72</v>
      </c>
      <c r="J15" s="173">
        <v>40.479999999999997</v>
      </c>
      <c r="K15" s="39">
        <v>1.38</v>
      </c>
      <c r="L15" s="157">
        <f t="shared" si="0"/>
        <v>28</v>
      </c>
      <c r="M15" s="156">
        <f t="shared" si="1"/>
        <v>4658</v>
      </c>
      <c r="N15" s="156">
        <f t="shared" si="2"/>
        <v>8144</v>
      </c>
      <c r="O15" s="172">
        <f t="shared" si="3"/>
        <v>0.74838986689566334</v>
      </c>
      <c r="P15" s="158">
        <f t="shared" si="4"/>
        <v>29.507246376811597</v>
      </c>
      <c r="Q15" s="83" t="str">
        <f t="shared" si="5"/>
        <v>Large</v>
      </c>
      <c r="R15" s="166">
        <f t="shared" si="6"/>
        <v>4.8134447360513533E-2</v>
      </c>
    </row>
    <row r="16" spans="1:18" ht="14">
      <c r="A16" s="167">
        <v>6</v>
      </c>
      <c r="B16" s="48" t="s">
        <v>92</v>
      </c>
      <c r="C16" s="77" t="s">
        <v>69</v>
      </c>
      <c r="D16" s="77" t="s">
        <v>8</v>
      </c>
      <c r="E16" s="78">
        <v>100</v>
      </c>
      <c r="F16" s="79">
        <v>40291</v>
      </c>
      <c r="G16" s="80">
        <v>69.41</v>
      </c>
      <c r="H16" s="173">
        <v>20590550000</v>
      </c>
      <c r="I16" s="174">
        <v>39.700000000000003</v>
      </c>
      <c r="J16" s="173">
        <v>39.25</v>
      </c>
      <c r="K16" s="39">
        <v>-6.52</v>
      </c>
      <c r="L16" s="157">
        <f t="shared" si="0"/>
        <v>28</v>
      </c>
      <c r="M16" s="156">
        <f t="shared" si="1"/>
        <v>6969</v>
      </c>
      <c r="N16" s="156">
        <f t="shared" si="2"/>
        <v>3970.0000000000005</v>
      </c>
      <c r="O16" s="172">
        <f t="shared" si="3"/>
        <v>-0.43033433778160418</v>
      </c>
      <c r="P16" s="158">
        <f t="shared" si="4"/>
        <v>0</v>
      </c>
      <c r="Q16" s="83" t="str">
        <f t="shared" si="5"/>
        <v>Large</v>
      </c>
      <c r="R16" s="166">
        <f t="shared" si="6"/>
        <v>2.3464361004572536E-2</v>
      </c>
    </row>
    <row r="17" spans="1:18" ht="14">
      <c r="A17" s="167">
        <v>7</v>
      </c>
      <c r="B17" s="48" t="s">
        <v>93</v>
      </c>
      <c r="C17" s="77" t="s">
        <v>70</v>
      </c>
      <c r="D17" s="77" t="s">
        <v>7</v>
      </c>
      <c r="E17" s="78">
        <v>100</v>
      </c>
      <c r="F17" s="79">
        <v>40291</v>
      </c>
      <c r="G17" s="80">
        <v>70.63</v>
      </c>
      <c r="H17" s="173">
        <v>33323671651</v>
      </c>
      <c r="I17" s="174">
        <v>57.88</v>
      </c>
      <c r="J17" s="173">
        <v>57.84</v>
      </c>
      <c r="K17" s="39">
        <v>2.7</v>
      </c>
      <c r="L17" s="157">
        <f t="shared" si="0"/>
        <v>28</v>
      </c>
      <c r="M17" s="156">
        <f t="shared" si="1"/>
        <v>7091</v>
      </c>
      <c r="N17" s="156">
        <f t="shared" si="2"/>
        <v>5788</v>
      </c>
      <c r="O17" s="172">
        <f t="shared" si="3"/>
        <v>-0.18375405443519954</v>
      </c>
      <c r="P17" s="158">
        <f t="shared" si="4"/>
        <v>21.437037037037037</v>
      </c>
      <c r="Q17" s="83" t="str">
        <f t="shared" si="5"/>
        <v>Large</v>
      </c>
      <c r="R17" s="166">
        <f t="shared" si="6"/>
        <v>3.4209501635885597E-2</v>
      </c>
    </row>
    <row r="18" spans="1:18" ht="14">
      <c r="A18" s="167">
        <v>8</v>
      </c>
      <c r="B18" s="48" t="s">
        <v>173</v>
      </c>
      <c r="C18" s="77" t="s">
        <v>175</v>
      </c>
      <c r="D18" s="77" t="s">
        <v>12</v>
      </c>
      <c r="E18" s="78">
        <v>150</v>
      </c>
      <c r="F18" s="79">
        <v>40291</v>
      </c>
      <c r="G18" s="80">
        <v>20.14</v>
      </c>
      <c r="H18" s="173">
        <v>109621013986</v>
      </c>
      <c r="I18" s="174">
        <v>40.71</v>
      </c>
      <c r="J18" s="173">
        <v>40.840000000000003</v>
      </c>
      <c r="K18" s="39">
        <v>0.37</v>
      </c>
      <c r="L18" s="157">
        <f t="shared" si="0"/>
        <v>28</v>
      </c>
      <c r="M18" s="156">
        <f t="shared" si="1"/>
        <v>3049</v>
      </c>
      <c r="N18" s="156">
        <f t="shared" si="2"/>
        <v>6106.5</v>
      </c>
      <c r="O18" s="172">
        <f t="shared" si="3"/>
        <v>1.002787799278452</v>
      </c>
      <c r="P18" s="158">
        <f t="shared" si="4"/>
        <v>110.02702702702703</v>
      </c>
      <c r="Q18" s="83" t="str">
        <f t="shared" si="5"/>
        <v>Large</v>
      </c>
      <c r="R18" s="166">
        <f t="shared" si="6"/>
        <v>3.6091969892801556E-2</v>
      </c>
    </row>
    <row r="19" spans="1:18" ht="14">
      <c r="A19" s="167">
        <v>9</v>
      </c>
      <c r="B19" s="43" t="s">
        <v>94</v>
      </c>
      <c r="C19" s="44" t="s">
        <v>146</v>
      </c>
      <c r="D19" s="77" t="s">
        <v>9</v>
      </c>
      <c r="E19" s="78">
        <v>30</v>
      </c>
      <c r="F19" s="79">
        <v>40291</v>
      </c>
      <c r="G19" s="80">
        <v>40.53</v>
      </c>
      <c r="H19" s="173">
        <v>11939394310</v>
      </c>
      <c r="I19" s="174">
        <v>96.01</v>
      </c>
      <c r="J19" s="173">
        <v>95.51</v>
      </c>
      <c r="K19" s="39">
        <v>4.34</v>
      </c>
      <c r="L19" s="157">
        <f t="shared" si="0"/>
        <v>12.159000000000001</v>
      </c>
      <c r="M19" s="156">
        <f t="shared" si="1"/>
        <v>1228.0590000000002</v>
      </c>
      <c r="N19" s="156">
        <f t="shared" si="2"/>
        <v>2880.3</v>
      </c>
      <c r="O19" s="172">
        <f t="shared" si="3"/>
        <v>1.3454084860743658</v>
      </c>
      <c r="P19" s="158">
        <f t="shared" si="4"/>
        <v>22.122119815668206</v>
      </c>
      <c r="Q19" s="83" t="str">
        <f t="shared" si="5"/>
        <v>Large</v>
      </c>
      <c r="R19" s="166">
        <f t="shared" si="6"/>
        <v>1.7023778086012666E-2</v>
      </c>
    </row>
    <row r="20" spans="1:18" ht="14">
      <c r="A20" s="167">
        <v>10</v>
      </c>
      <c r="B20" s="48" t="s">
        <v>52</v>
      </c>
      <c r="C20" s="77" t="s">
        <v>147</v>
      </c>
      <c r="D20" s="45" t="s">
        <v>10</v>
      </c>
      <c r="E20" s="23">
        <v>100</v>
      </c>
      <c r="F20" s="46">
        <v>40291</v>
      </c>
      <c r="G20" s="47">
        <v>18.53</v>
      </c>
      <c r="H20" s="173">
        <v>31076572682</v>
      </c>
      <c r="I20" s="174">
        <v>18.52</v>
      </c>
      <c r="J20" s="173">
        <v>18.38</v>
      </c>
      <c r="K20" s="39">
        <v>1.46</v>
      </c>
      <c r="L20" s="157">
        <f t="shared" si="0"/>
        <v>18.53</v>
      </c>
      <c r="M20" s="156">
        <f t="shared" si="1"/>
        <v>1871.53</v>
      </c>
      <c r="N20" s="156">
        <f t="shared" si="2"/>
        <v>1852</v>
      </c>
      <c r="O20" s="172">
        <f t="shared" si="3"/>
        <v>-1.0435312284601355E-2</v>
      </c>
      <c r="P20" s="158">
        <f t="shared" si="4"/>
        <v>12.684931506849315</v>
      </c>
      <c r="Q20" s="83" t="str">
        <f t="shared" si="5"/>
        <v>Large</v>
      </c>
      <c r="R20" s="166">
        <f t="shared" si="6"/>
        <v>1.0946094856541142E-2</v>
      </c>
    </row>
    <row r="21" spans="1:18" ht="14">
      <c r="A21" s="167">
        <v>11</v>
      </c>
      <c r="B21" s="48" t="s">
        <v>95</v>
      </c>
      <c r="C21" s="77" t="s">
        <v>148</v>
      </c>
      <c r="D21" s="77" t="s">
        <v>7</v>
      </c>
      <c r="E21" s="78">
        <v>100</v>
      </c>
      <c r="F21" s="79">
        <v>40291</v>
      </c>
      <c r="G21" s="80">
        <v>48.72</v>
      </c>
      <c r="H21" s="173">
        <v>23104464730</v>
      </c>
      <c r="I21" s="174">
        <v>108.8</v>
      </c>
      <c r="J21" s="173">
        <v>108.63</v>
      </c>
      <c r="K21" s="39">
        <v>3.34</v>
      </c>
      <c r="L21" s="157">
        <f t="shared" si="0"/>
        <v>28</v>
      </c>
      <c r="M21" s="156">
        <f t="shared" si="1"/>
        <v>4900</v>
      </c>
      <c r="N21" s="156">
        <f t="shared" si="2"/>
        <v>10880</v>
      </c>
      <c r="O21" s="172">
        <f t="shared" si="3"/>
        <v>1.2204081632653061</v>
      </c>
      <c r="P21" s="158">
        <f t="shared" si="4"/>
        <v>32.574850299401199</v>
      </c>
      <c r="Q21" s="83" t="str">
        <f t="shared" si="5"/>
        <v>Large</v>
      </c>
      <c r="R21" s="166">
        <f t="shared" si="6"/>
        <v>6.4305352072984684E-2</v>
      </c>
    </row>
    <row r="22" spans="1:18" ht="42">
      <c r="A22" s="167">
        <v>12</v>
      </c>
      <c r="B22" s="48" t="s">
        <v>96</v>
      </c>
      <c r="C22" s="77" t="s">
        <v>71</v>
      </c>
      <c r="D22" s="77" t="s">
        <v>10</v>
      </c>
      <c r="E22" s="78">
        <v>50</v>
      </c>
      <c r="F22" s="79">
        <v>40291</v>
      </c>
      <c r="G22" s="80">
        <v>126.99</v>
      </c>
      <c r="H22" s="173">
        <v>152508037371</v>
      </c>
      <c r="I22" s="174">
        <v>162.30000000000001</v>
      </c>
      <c r="J22" s="173">
        <v>161.69</v>
      </c>
      <c r="K22" s="39">
        <v>12.38</v>
      </c>
      <c r="L22" s="157">
        <f t="shared" si="0"/>
        <v>28</v>
      </c>
      <c r="M22" s="156">
        <f t="shared" si="1"/>
        <v>6377.5</v>
      </c>
      <c r="N22" s="156">
        <f>I22*E22</f>
        <v>8115.0000000000009</v>
      </c>
      <c r="O22" s="172">
        <f t="shared" si="3"/>
        <v>0.27244217953743644</v>
      </c>
      <c r="P22" s="158">
        <f t="shared" si="4"/>
        <v>13.109854604200324</v>
      </c>
      <c r="Q22" s="83" t="str">
        <f t="shared" si="5"/>
        <v>Large</v>
      </c>
      <c r="R22" s="166">
        <f t="shared" si="6"/>
        <v>4.7963045227230765E-2</v>
      </c>
    </row>
    <row r="23" spans="1:18" ht="14">
      <c r="A23" s="167">
        <v>13</v>
      </c>
      <c r="B23" s="48" t="s">
        <v>97</v>
      </c>
      <c r="C23" s="77" t="s">
        <v>149</v>
      </c>
      <c r="D23" s="77" t="s">
        <v>11</v>
      </c>
      <c r="E23" s="78">
        <v>100</v>
      </c>
      <c r="F23" s="79">
        <v>40291</v>
      </c>
      <c r="G23" s="80">
        <v>56.48</v>
      </c>
      <c r="H23" s="173">
        <v>3457914174</v>
      </c>
      <c r="I23" s="174">
        <v>39.96</v>
      </c>
      <c r="J23" s="173">
        <v>39</v>
      </c>
      <c r="K23" s="39">
        <v>2.0699999999999998</v>
      </c>
      <c r="L23" s="157">
        <f t="shared" si="0"/>
        <v>28</v>
      </c>
      <c r="M23" s="156">
        <f t="shared" si="1"/>
        <v>5676</v>
      </c>
      <c r="N23" s="156">
        <f t="shared" si="2"/>
        <v>3996</v>
      </c>
      <c r="O23" s="172">
        <f t="shared" si="3"/>
        <v>-0.29598308668076112</v>
      </c>
      <c r="P23" s="158">
        <f t="shared" si="4"/>
        <v>19.304347826086957</v>
      </c>
      <c r="Q23" s="83" t="str">
        <f t="shared" si="5"/>
        <v>Small</v>
      </c>
      <c r="R23" s="166">
        <f t="shared" si="6"/>
        <v>2.3618031882688122E-2</v>
      </c>
    </row>
    <row r="24" spans="1:18" ht="28">
      <c r="A24" s="167">
        <v>14</v>
      </c>
      <c r="B24" s="48" t="s">
        <v>98</v>
      </c>
      <c r="C24" s="77" t="s">
        <v>72</v>
      </c>
      <c r="D24" s="77" t="s">
        <v>11</v>
      </c>
      <c r="E24" s="78">
        <v>100</v>
      </c>
      <c r="F24" s="79">
        <v>40291</v>
      </c>
      <c r="G24" s="80">
        <v>34.229999999999997</v>
      </c>
      <c r="H24" s="173">
        <v>38749953547</v>
      </c>
      <c r="I24" s="174">
        <v>41.73</v>
      </c>
      <c r="J24" s="173">
        <v>41.28</v>
      </c>
      <c r="K24" s="39">
        <v>-1.64</v>
      </c>
      <c r="L24" s="157">
        <f t="shared" si="0"/>
        <v>28</v>
      </c>
      <c r="M24" s="156">
        <f t="shared" si="1"/>
        <v>3450.9999999999995</v>
      </c>
      <c r="N24" s="156">
        <f t="shared" si="2"/>
        <v>4173</v>
      </c>
      <c r="O24" s="172">
        <f t="shared" si="3"/>
        <v>0.20921472037090713</v>
      </c>
      <c r="P24" s="158">
        <f t="shared" si="4"/>
        <v>0</v>
      </c>
      <c r="Q24" s="83" t="str">
        <f t="shared" si="5"/>
        <v>Large</v>
      </c>
      <c r="R24" s="166">
        <f t="shared" si="6"/>
        <v>2.4664175937551935E-2</v>
      </c>
    </row>
    <row r="25" spans="1:18" ht="28">
      <c r="A25" s="167">
        <v>15</v>
      </c>
      <c r="B25" s="48" t="s">
        <v>99</v>
      </c>
      <c r="C25" s="77" t="s">
        <v>73</v>
      </c>
      <c r="D25" s="77" t="s">
        <v>12</v>
      </c>
      <c r="E25" s="78">
        <v>88</v>
      </c>
      <c r="F25" s="79">
        <v>40291</v>
      </c>
      <c r="G25" s="80">
        <v>65.040000000000006</v>
      </c>
      <c r="H25" s="173">
        <v>329020961069</v>
      </c>
      <c r="I25" s="174">
        <v>121.87</v>
      </c>
      <c r="J25" s="173">
        <v>121.37</v>
      </c>
      <c r="K25" s="39">
        <v>5.93</v>
      </c>
      <c r="L25" s="157">
        <f t="shared" si="0"/>
        <v>28</v>
      </c>
      <c r="M25" s="156">
        <f t="shared" si="1"/>
        <v>5751.52</v>
      </c>
      <c r="N25" s="156">
        <f t="shared" si="2"/>
        <v>10724.560000000001</v>
      </c>
      <c r="O25" s="172">
        <f t="shared" si="3"/>
        <v>0.86464795393217797</v>
      </c>
      <c r="P25" s="158">
        <f t="shared" si="4"/>
        <v>20.551433389544691</v>
      </c>
      <c r="Q25" s="83" t="str">
        <f t="shared" si="5"/>
        <v>Large</v>
      </c>
      <c r="R25" s="166">
        <f t="shared" si="6"/>
        <v>6.3386636638589025E-2</v>
      </c>
    </row>
    <row r="26" spans="1:18" ht="14">
      <c r="A26" s="167">
        <v>16</v>
      </c>
      <c r="B26" s="48" t="s">
        <v>100</v>
      </c>
      <c r="C26" s="77" t="s">
        <v>150</v>
      </c>
      <c r="D26" s="77" t="s">
        <v>13</v>
      </c>
      <c r="E26" s="78">
        <v>200</v>
      </c>
      <c r="F26" s="79">
        <v>40291</v>
      </c>
      <c r="G26" s="80">
        <v>49.48</v>
      </c>
      <c r="H26" s="173">
        <v>6752919598</v>
      </c>
      <c r="I26" s="174">
        <v>40.76</v>
      </c>
      <c r="J26" s="173">
        <v>39.18</v>
      </c>
      <c r="K26" s="39">
        <v>3.11</v>
      </c>
      <c r="L26" s="157">
        <f t="shared" si="0"/>
        <v>28</v>
      </c>
      <c r="M26" s="156">
        <f t="shared" si="1"/>
        <v>9924</v>
      </c>
      <c r="N26" s="156">
        <f t="shared" si="2"/>
        <v>8152</v>
      </c>
      <c r="O26" s="172">
        <f t="shared" si="3"/>
        <v>-0.17855703345425231</v>
      </c>
      <c r="P26" s="158">
        <f t="shared" si="4"/>
        <v>13.106109324758842</v>
      </c>
      <c r="Q26" s="83" t="str">
        <f t="shared" si="5"/>
        <v>Medium</v>
      </c>
      <c r="R26" s="166">
        <f t="shared" si="6"/>
        <v>4.8181730707626019E-2</v>
      </c>
    </row>
    <row r="27" spans="1:18" ht="14">
      <c r="A27" s="167">
        <v>17</v>
      </c>
      <c r="B27" s="48" t="s">
        <v>122</v>
      </c>
      <c r="C27" s="77" t="s">
        <v>151</v>
      </c>
      <c r="D27" s="77" t="s">
        <v>12</v>
      </c>
      <c r="E27" s="78">
        <v>50</v>
      </c>
      <c r="F27" s="79">
        <v>40291</v>
      </c>
      <c r="G27" s="80">
        <v>35.46</v>
      </c>
      <c r="H27" s="173">
        <v>89250333937</v>
      </c>
      <c r="I27" s="174">
        <v>81.94</v>
      </c>
      <c r="J27" s="173">
        <v>80.89</v>
      </c>
      <c r="K27" s="39">
        <v>2.58</v>
      </c>
      <c r="L27" s="157">
        <f t="shared" si="0"/>
        <v>17.73</v>
      </c>
      <c r="M27" s="156">
        <f t="shared" si="1"/>
        <v>1790.73</v>
      </c>
      <c r="N27" s="156">
        <f t="shared" si="2"/>
        <v>4097</v>
      </c>
      <c r="O27" s="172">
        <f t="shared" si="3"/>
        <v>1.2878937639956889</v>
      </c>
      <c r="P27" s="158">
        <f t="shared" si="4"/>
        <v>31.759689922480618</v>
      </c>
      <c r="Q27" s="83" t="str">
        <f t="shared" si="5"/>
        <v>Large</v>
      </c>
      <c r="R27" s="166">
        <f t="shared" si="6"/>
        <v>2.4214984139983294E-2</v>
      </c>
    </row>
    <row r="28" spans="1:18" ht="14">
      <c r="A28" s="167">
        <v>18</v>
      </c>
      <c r="B28" s="48" t="s">
        <v>165</v>
      </c>
      <c r="C28" s="77" t="s">
        <v>152</v>
      </c>
      <c r="D28" s="77" t="s">
        <v>13</v>
      </c>
      <c r="E28" s="78">
        <v>150</v>
      </c>
      <c r="F28" s="79">
        <v>40291</v>
      </c>
      <c r="G28" s="80">
        <v>29.48</v>
      </c>
      <c r="H28" s="173">
        <v>8877882353</v>
      </c>
      <c r="I28" s="174">
        <v>30.01</v>
      </c>
      <c r="J28" s="173">
        <v>29.09</v>
      </c>
      <c r="K28" s="39">
        <v>1.99</v>
      </c>
      <c r="L28" s="157">
        <f t="shared" si="0"/>
        <v>28</v>
      </c>
      <c r="M28" s="156">
        <f t="shared" si="1"/>
        <v>4450</v>
      </c>
      <c r="N28" s="156">
        <f t="shared" si="2"/>
        <v>4501.5</v>
      </c>
      <c r="O28" s="172">
        <f t="shared" si="3"/>
        <v>1.1573033707865169E-2</v>
      </c>
      <c r="P28" s="158">
        <f t="shared" si="4"/>
        <v>15.080402010050252</v>
      </c>
      <c r="Q28" s="83" t="str">
        <f t="shared" si="5"/>
        <v>Medium</v>
      </c>
      <c r="R28" s="166">
        <f t="shared" si="6"/>
        <v>2.6605748378358506E-2</v>
      </c>
    </row>
    <row r="29" spans="1:18" ht="14">
      <c r="A29" s="167">
        <v>19</v>
      </c>
      <c r="B29" s="48" t="s">
        <v>101</v>
      </c>
      <c r="C29" s="77" t="s">
        <v>153</v>
      </c>
      <c r="D29" s="77" t="s">
        <v>9</v>
      </c>
      <c r="E29" s="78">
        <v>50</v>
      </c>
      <c r="F29" s="79">
        <v>40291</v>
      </c>
      <c r="G29" s="80">
        <v>23.54</v>
      </c>
      <c r="H29" s="173">
        <v>8600521944</v>
      </c>
      <c r="I29" s="174">
        <v>25.21</v>
      </c>
      <c r="J29" s="173">
        <v>25.11</v>
      </c>
      <c r="K29" s="39">
        <v>0.92</v>
      </c>
      <c r="L29" s="157">
        <f t="shared" si="0"/>
        <v>11.77</v>
      </c>
      <c r="M29" s="156">
        <f t="shared" si="1"/>
        <v>1188.77</v>
      </c>
      <c r="N29" s="156">
        <f t="shared" si="2"/>
        <v>1260.5</v>
      </c>
      <c r="O29" s="172">
        <f t="shared" si="3"/>
        <v>6.0339678827695871E-2</v>
      </c>
      <c r="P29" s="158">
        <f t="shared" si="4"/>
        <v>27.402173913043477</v>
      </c>
      <c r="Q29" s="83" t="str">
        <f t="shared" si="5"/>
        <v>Medium</v>
      </c>
      <c r="R29" s="166">
        <f t="shared" si="6"/>
        <v>7.4500823794115059E-3</v>
      </c>
    </row>
    <row r="30" spans="1:18" ht="14">
      <c r="A30" s="167">
        <v>20</v>
      </c>
      <c r="B30" s="48" t="s">
        <v>102</v>
      </c>
      <c r="C30" s="77" t="s">
        <v>74</v>
      </c>
      <c r="D30" s="77" t="s">
        <v>14</v>
      </c>
      <c r="E30" s="78">
        <v>240</v>
      </c>
      <c r="F30" s="79">
        <v>40291</v>
      </c>
      <c r="G30" s="80">
        <v>10.48</v>
      </c>
      <c r="H30" s="173">
        <v>1172951869</v>
      </c>
      <c r="I30" s="174">
        <v>8.7200000000000006</v>
      </c>
      <c r="J30" s="173">
        <v>8.6999999999999993</v>
      </c>
      <c r="K30" s="39">
        <v>-2.54</v>
      </c>
      <c r="L30" s="157">
        <f t="shared" si="0"/>
        <v>25.152000000000005</v>
      </c>
      <c r="M30" s="156">
        <f t="shared" si="1"/>
        <v>2540.3520000000003</v>
      </c>
      <c r="N30" s="156">
        <f t="shared" si="2"/>
        <v>2092.8000000000002</v>
      </c>
      <c r="O30" s="172">
        <f t="shared" si="3"/>
        <v>-0.17617715970070291</v>
      </c>
      <c r="P30" s="158">
        <f t="shared" si="4"/>
        <v>0</v>
      </c>
      <c r="Q30" s="83" t="str">
        <f t="shared" si="5"/>
        <v>Small</v>
      </c>
      <c r="R30" s="166">
        <f t="shared" si="6"/>
        <v>1.2369323604627055E-2</v>
      </c>
    </row>
    <row r="31" spans="1:18" ht="28">
      <c r="A31" s="167">
        <v>21</v>
      </c>
      <c r="B31" s="48" t="s">
        <v>103</v>
      </c>
      <c r="C31" s="77" t="s">
        <v>75</v>
      </c>
      <c r="D31" s="77" t="s">
        <v>14</v>
      </c>
      <c r="E31" s="78">
        <v>250</v>
      </c>
      <c r="F31" s="79">
        <v>40291</v>
      </c>
      <c r="G31" s="80">
        <v>19.21</v>
      </c>
      <c r="H31" s="173">
        <v>34041939137</v>
      </c>
      <c r="I31" s="174">
        <v>17.25</v>
      </c>
      <c r="J31" s="173">
        <v>16.96</v>
      </c>
      <c r="K31" s="39">
        <v>1.41</v>
      </c>
      <c r="L31" s="157">
        <f t="shared" si="0"/>
        <v>28</v>
      </c>
      <c r="M31" s="156">
        <f t="shared" si="1"/>
        <v>4830.5</v>
      </c>
      <c r="N31" s="156">
        <f t="shared" si="2"/>
        <v>4312.5</v>
      </c>
      <c r="O31" s="172">
        <f t="shared" si="3"/>
        <v>-0.10723527585136114</v>
      </c>
      <c r="P31" s="158">
        <f t="shared" si="4"/>
        <v>12.23404255319149</v>
      </c>
      <c r="Q31" s="83" t="str">
        <f t="shared" si="5"/>
        <v>Large</v>
      </c>
      <c r="R31" s="166">
        <f t="shared" si="6"/>
        <v>2.5488679302825959E-2</v>
      </c>
    </row>
    <row r="32" spans="1:18" ht="14">
      <c r="A32" s="167">
        <v>22</v>
      </c>
      <c r="B32" s="48" t="s">
        <v>167</v>
      </c>
      <c r="C32" s="77" t="s">
        <v>154</v>
      </c>
      <c r="D32" s="77" t="s">
        <v>10</v>
      </c>
      <c r="E32" s="78">
        <v>150</v>
      </c>
      <c r="F32" s="79">
        <v>40291</v>
      </c>
      <c r="G32" s="80">
        <v>30.96</v>
      </c>
      <c r="H32" s="173">
        <v>502598539492</v>
      </c>
      <c r="I32" s="174">
        <v>65.5</v>
      </c>
      <c r="J32" s="173">
        <v>65.040000000000006</v>
      </c>
      <c r="K32" s="39">
        <v>2.13</v>
      </c>
      <c r="L32" s="157">
        <f t="shared" si="0"/>
        <v>28</v>
      </c>
      <c r="M32" s="156">
        <f t="shared" si="1"/>
        <v>4672</v>
      </c>
      <c r="N32" s="156">
        <f t="shared" si="2"/>
        <v>9825</v>
      </c>
      <c r="O32" s="172">
        <f t="shared" si="3"/>
        <v>1.1029537671232876</v>
      </c>
      <c r="P32" s="158">
        <f t="shared" si="4"/>
        <v>30.751173708920188</v>
      </c>
      <c r="Q32" s="83" t="str">
        <f t="shared" si="5"/>
        <v>Large</v>
      </c>
      <c r="R32" s="166">
        <f t="shared" si="6"/>
        <v>5.8069860672525231E-2</v>
      </c>
    </row>
    <row r="33" spans="1:18" ht="28">
      <c r="A33" s="167">
        <v>23</v>
      </c>
      <c r="B33" s="77" t="s">
        <v>104</v>
      </c>
      <c r="C33" s="77" t="s">
        <v>76</v>
      </c>
      <c r="D33" s="77" t="s">
        <v>8</v>
      </c>
      <c r="E33" s="78">
        <v>50</v>
      </c>
      <c r="F33" s="79">
        <v>40291</v>
      </c>
      <c r="G33" s="80">
        <v>22.61</v>
      </c>
      <c r="H33" s="173">
        <v>3412743063</v>
      </c>
      <c r="I33" s="174">
        <v>11.77</v>
      </c>
      <c r="J33" s="173">
        <v>11.96</v>
      </c>
      <c r="K33" s="39">
        <v>-3.64</v>
      </c>
      <c r="L33" s="157">
        <f t="shared" si="0"/>
        <v>11.305</v>
      </c>
      <c r="M33" s="156">
        <f t="shared" si="1"/>
        <v>1141.8050000000001</v>
      </c>
      <c r="N33" s="156">
        <f t="shared" si="2"/>
        <v>588.5</v>
      </c>
      <c r="O33" s="172">
        <f t="shared" si="3"/>
        <v>-0.48458799882641962</v>
      </c>
      <c r="P33" s="158">
        <f t="shared" si="4"/>
        <v>0</v>
      </c>
      <c r="Q33" s="83" t="str">
        <f t="shared" si="5"/>
        <v>Small</v>
      </c>
      <c r="R33" s="166">
        <f t="shared" si="6"/>
        <v>3.4782812219624525E-3</v>
      </c>
    </row>
    <row r="34" spans="1:18" ht="14">
      <c r="A34" s="167">
        <v>24</v>
      </c>
      <c r="B34" s="77" t="s">
        <v>105</v>
      </c>
      <c r="C34" s="77" t="s">
        <v>77</v>
      </c>
      <c r="D34" s="77" t="s">
        <v>10</v>
      </c>
      <c r="E34" s="78">
        <v>200</v>
      </c>
      <c r="F34" s="79">
        <v>40291</v>
      </c>
      <c r="G34" s="80">
        <v>14.32</v>
      </c>
      <c r="H34" s="173">
        <v>4504830000</v>
      </c>
      <c r="I34" s="174">
        <v>35.89</v>
      </c>
      <c r="J34" s="173">
        <v>36.299999999999997</v>
      </c>
      <c r="K34" s="39">
        <v>1.49</v>
      </c>
      <c r="L34" s="157">
        <f t="shared" si="0"/>
        <v>28</v>
      </c>
      <c r="M34" s="156">
        <f t="shared" si="1"/>
        <v>2892</v>
      </c>
      <c r="N34" s="156">
        <f t="shared" si="2"/>
        <v>7178</v>
      </c>
      <c r="O34" s="172">
        <f t="shared" si="3"/>
        <v>1.4820193637621024</v>
      </c>
      <c r="P34" s="158">
        <f t="shared" si="4"/>
        <v>24.087248322147651</v>
      </c>
      <c r="Q34" s="83" t="str">
        <f t="shared" si="5"/>
        <v>Small</v>
      </c>
      <c r="R34" s="166">
        <f t="shared" si="6"/>
        <v>4.2424983196680519E-2</v>
      </c>
    </row>
    <row r="35" spans="1:18" ht="14">
      <c r="A35" s="167">
        <v>25</v>
      </c>
      <c r="B35" s="77" t="s">
        <v>106</v>
      </c>
      <c r="C35" s="77" t="s">
        <v>155</v>
      </c>
      <c r="D35" s="77" t="s">
        <v>8</v>
      </c>
      <c r="E35" s="78">
        <v>100</v>
      </c>
      <c r="F35" s="79">
        <v>40291</v>
      </c>
      <c r="G35" s="80">
        <v>43.63</v>
      </c>
      <c r="H35" s="173">
        <v>1279686860</v>
      </c>
      <c r="I35" s="174">
        <v>5.31</v>
      </c>
      <c r="J35" s="173">
        <v>5.23</v>
      </c>
      <c r="K35" s="39">
        <v>-3.82</v>
      </c>
      <c r="L35" s="157">
        <f t="shared" si="0"/>
        <v>28</v>
      </c>
      <c r="M35" s="156">
        <f t="shared" si="1"/>
        <v>4391</v>
      </c>
      <c r="N35" s="156">
        <f t="shared" si="2"/>
        <v>531</v>
      </c>
      <c r="O35" s="172">
        <f t="shared" si="3"/>
        <v>-0.87907082669095882</v>
      </c>
      <c r="P35" s="158">
        <f t="shared" si="4"/>
        <v>0</v>
      </c>
      <c r="Q35" s="83" t="str">
        <f t="shared" si="5"/>
        <v>Small</v>
      </c>
      <c r="R35" s="166">
        <f t="shared" si="6"/>
        <v>3.1384321645914399E-3</v>
      </c>
    </row>
    <row r="36" spans="1:18" ht="14">
      <c r="A36" s="167">
        <v>26</v>
      </c>
      <c r="B36" s="77" t="s">
        <v>107</v>
      </c>
      <c r="C36" s="77" t="s">
        <v>78</v>
      </c>
      <c r="D36" s="77" t="s">
        <v>14</v>
      </c>
      <c r="E36" s="78">
        <v>10</v>
      </c>
      <c r="F36" s="79">
        <v>40291</v>
      </c>
      <c r="G36" s="80">
        <v>20.86</v>
      </c>
      <c r="H36" s="173">
        <v>22579661595</v>
      </c>
      <c r="I36" s="174">
        <v>39.409999999999997</v>
      </c>
      <c r="J36" s="173">
        <v>38.869999999999997</v>
      </c>
      <c r="K36" s="39">
        <v>1.76</v>
      </c>
      <c r="L36" s="157">
        <f t="shared" si="0"/>
        <v>2.0859999999999999</v>
      </c>
      <c r="M36" s="156">
        <f t="shared" si="1"/>
        <v>210.68600000000001</v>
      </c>
      <c r="N36" s="156">
        <f t="shared" si="2"/>
        <v>394.09999999999997</v>
      </c>
      <c r="O36" s="172">
        <f t="shared" si="3"/>
        <v>0.87055618313509175</v>
      </c>
      <c r="P36" s="158">
        <f t="shared" si="4"/>
        <v>22.392045454545453</v>
      </c>
      <c r="Q36" s="83" t="str">
        <f t="shared" si="5"/>
        <v>Large</v>
      </c>
      <c r="R36" s="166">
        <f t="shared" si="6"/>
        <v>2.3292958871289761E-3</v>
      </c>
    </row>
    <row r="37" spans="1:18" ht="14">
      <c r="A37" s="167">
        <v>27</v>
      </c>
      <c r="B37" s="77" t="s">
        <v>108</v>
      </c>
      <c r="C37" s="77" t="s">
        <v>156</v>
      </c>
      <c r="D37" s="77" t="s">
        <v>13</v>
      </c>
      <c r="E37" s="78">
        <v>150</v>
      </c>
      <c r="F37" s="79">
        <v>40291</v>
      </c>
      <c r="G37" s="80">
        <v>48.01</v>
      </c>
      <c r="H37" s="173">
        <v>49645861156</v>
      </c>
      <c r="I37" s="174">
        <v>78.17</v>
      </c>
      <c r="J37" s="173">
        <v>76.900000000000006</v>
      </c>
      <c r="K37" s="39">
        <v>3.46</v>
      </c>
      <c r="L37" s="157">
        <f t="shared" si="0"/>
        <v>28</v>
      </c>
      <c r="M37" s="156">
        <f t="shared" si="1"/>
        <v>7229.5</v>
      </c>
      <c r="N37" s="156">
        <f t="shared" si="2"/>
        <v>11725.5</v>
      </c>
      <c r="O37" s="172">
        <f t="shared" si="3"/>
        <v>0.62189639670793273</v>
      </c>
      <c r="P37" s="158">
        <f t="shared" si="4"/>
        <v>22.592485549132949</v>
      </c>
      <c r="Q37" s="83" t="str">
        <f t="shared" si="5"/>
        <v>Large</v>
      </c>
      <c r="R37" s="166">
        <f t="shared" si="6"/>
        <v>6.9302610820935834E-2</v>
      </c>
    </row>
    <row r="38" spans="1:18" ht="14">
      <c r="A38" s="167">
        <v>28</v>
      </c>
      <c r="B38" s="77" t="s">
        <v>109</v>
      </c>
      <c r="C38" s="77" t="s">
        <v>157</v>
      </c>
      <c r="D38" s="77" t="s">
        <v>13</v>
      </c>
      <c r="E38" s="78">
        <v>100</v>
      </c>
      <c r="F38" s="79">
        <v>40291</v>
      </c>
      <c r="G38" s="80">
        <v>56.53</v>
      </c>
      <c r="H38" s="173">
        <v>224654982481</v>
      </c>
      <c r="I38" s="174">
        <v>74.8</v>
      </c>
      <c r="J38" s="173">
        <v>74.069999999999993</v>
      </c>
      <c r="K38" s="39">
        <v>4.38</v>
      </c>
      <c r="L38" s="157">
        <f t="shared" si="0"/>
        <v>28</v>
      </c>
      <c r="M38" s="156">
        <f t="shared" si="1"/>
        <v>5681</v>
      </c>
      <c r="N38" s="156">
        <f t="shared" si="2"/>
        <v>7480</v>
      </c>
      <c r="O38" s="172">
        <f t="shared" si="3"/>
        <v>0.31666960042246084</v>
      </c>
      <c r="P38" s="158">
        <f t="shared" si="4"/>
        <v>17.077625570776256</v>
      </c>
      <c r="Q38" s="83" t="str">
        <f t="shared" si="5"/>
        <v>Large</v>
      </c>
      <c r="R38" s="166">
        <f t="shared" si="6"/>
        <v>4.4209929550176968E-2</v>
      </c>
    </row>
    <row r="39" spans="1:18" ht="28">
      <c r="A39" s="167">
        <v>29</v>
      </c>
      <c r="B39" s="77" t="s">
        <v>110</v>
      </c>
      <c r="C39" s="77" t="s">
        <v>79</v>
      </c>
      <c r="D39" s="77" t="s">
        <v>15</v>
      </c>
      <c r="E39" s="78">
        <v>50</v>
      </c>
      <c r="F39" s="79">
        <v>40291</v>
      </c>
      <c r="G39" s="80">
        <v>59.24</v>
      </c>
      <c r="H39" s="173">
        <v>4953343427</v>
      </c>
      <c r="I39" s="174">
        <v>30.51</v>
      </c>
      <c r="J39" s="173">
        <v>28.42</v>
      </c>
      <c r="K39" s="39">
        <v>-2.81</v>
      </c>
      <c r="L39" s="157">
        <f t="shared" si="0"/>
        <v>28</v>
      </c>
      <c r="M39" s="156">
        <f t="shared" si="1"/>
        <v>2990</v>
      </c>
      <c r="N39" s="156">
        <f t="shared" si="2"/>
        <v>1525.5</v>
      </c>
      <c r="O39" s="172">
        <f t="shared" si="3"/>
        <v>-0.4897993311036789</v>
      </c>
      <c r="P39" s="158">
        <f t="shared" si="4"/>
        <v>0</v>
      </c>
      <c r="Q39" s="83" t="str">
        <f t="shared" si="5"/>
        <v>Small</v>
      </c>
      <c r="R39" s="166">
        <f t="shared" si="6"/>
        <v>9.0163432525126961E-3</v>
      </c>
    </row>
    <row r="40" spans="1:18" ht="42">
      <c r="A40" s="167">
        <v>30</v>
      </c>
      <c r="B40" s="77" t="s">
        <v>50</v>
      </c>
      <c r="C40" s="77" t="s">
        <v>158</v>
      </c>
      <c r="D40" s="77" t="s">
        <v>11</v>
      </c>
      <c r="E40" s="78">
        <v>50</v>
      </c>
      <c r="F40" s="79">
        <v>40291</v>
      </c>
      <c r="G40" s="80">
        <v>13.11</v>
      </c>
      <c r="H40" s="173">
        <v>50166800</v>
      </c>
      <c r="I40" s="174">
        <v>2.74</v>
      </c>
      <c r="J40" s="173">
        <v>2.76</v>
      </c>
      <c r="K40" s="39">
        <v>-89.3</v>
      </c>
      <c r="L40" s="157">
        <f t="shared" si="0"/>
        <v>6.5549999999999997</v>
      </c>
      <c r="M40" s="156">
        <f t="shared" si="1"/>
        <v>662.05499999999995</v>
      </c>
      <c r="N40" s="156">
        <f t="shared" si="2"/>
        <v>137</v>
      </c>
      <c r="O40" s="172">
        <f t="shared" si="3"/>
        <v>-0.7930685517064292</v>
      </c>
      <c r="P40" s="158">
        <f t="shared" si="4"/>
        <v>0</v>
      </c>
      <c r="Q40" s="83" t="str">
        <f t="shared" si="5"/>
        <v>Small</v>
      </c>
      <c r="R40" s="166">
        <f t="shared" si="6"/>
        <v>8.0972731930136963E-4</v>
      </c>
    </row>
    <row r="41" spans="1:18" ht="14">
      <c r="A41" s="167">
        <v>31</v>
      </c>
      <c r="B41" s="77" t="s">
        <v>124</v>
      </c>
      <c r="C41" s="77" t="s">
        <v>125</v>
      </c>
      <c r="D41" s="77" t="s">
        <v>10</v>
      </c>
      <c r="E41" s="78">
        <v>50</v>
      </c>
      <c r="F41" s="79">
        <v>40291</v>
      </c>
      <c r="G41" s="80">
        <v>17.64</v>
      </c>
      <c r="H41" s="173">
        <v>44954899199</v>
      </c>
      <c r="I41" s="174">
        <v>47.67</v>
      </c>
      <c r="J41" s="173">
        <v>47</v>
      </c>
      <c r="K41" s="39">
        <v>-0.23</v>
      </c>
      <c r="L41" s="157">
        <f t="shared" si="0"/>
        <v>8.82</v>
      </c>
      <c r="M41" s="156">
        <f t="shared" si="1"/>
        <v>890.82</v>
      </c>
      <c r="N41" s="156">
        <f t="shared" si="2"/>
        <v>2383.5</v>
      </c>
      <c r="O41" s="172">
        <f t="shared" si="3"/>
        <v>1.6756247053276754</v>
      </c>
      <c r="P41" s="158">
        <f t="shared" si="4"/>
        <v>0</v>
      </c>
      <c r="Q41" s="83" t="str">
        <f t="shared" si="5"/>
        <v>Large</v>
      </c>
      <c r="R41" s="166">
        <f t="shared" si="6"/>
        <v>1.4087482230327112E-2</v>
      </c>
    </row>
    <row r="42" spans="1:18">
      <c r="A42" s="167"/>
      <c r="B42" s="167"/>
      <c r="C42" s="167"/>
      <c r="D42" s="167"/>
      <c r="E42" s="167"/>
      <c r="F42" s="167"/>
      <c r="G42" s="23"/>
      <c r="H42" s="167"/>
      <c r="I42" s="167"/>
      <c r="J42" s="23"/>
      <c r="K42" s="23"/>
      <c r="L42" s="71"/>
      <c r="M42" s="24"/>
      <c r="N42" s="24"/>
      <c r="O42" s="91"/>
      <c r="P42" s="23"/>
      <c r="Q42" s="167"/>
      <c r="R42" s="23"/>
    </row>
    <row r="43" spans="1:18">
      <c r="A43" s="167"/>
      <c r="B43" s="167"/>
      <c r="C43" s="167"/>
      <c r="D43" s="167"/>
      <c r="E43" s="167"/>
      <c r="F43" s="167"/>
      <c r="G43" s="23"/>
      <c r="H43" s="167"/>
      <c r="I43" s="167"/>
      <c r="J43" s="23"/>
      <c r="K43" s="23"/>
      <c r="L43" s="167"/>
      <c r="M43" s="167"/>
      <c r="N43" s="167"/>
      <c r="O43" s="23"/>
      <c r="P43" s="23"/>
      <c r="Q43" s="167"/>
      <c r="R43" s="23"/>
    </row>
    <row r="44" spans="1:18">
      <c r="A44" s="167"/>
      <c r="B44" s="136" t="s">
        <v>190</v>
      </c>
      <c r="C44" s="167"/>
      <c r="D44" s="167"/>
      <c r="E44" s="167"/>
      <c r="F44" s="167"/>
      <c r="G44" s="23"/>
      <c r="H44" s="167"/>
      <c r="I44" s="167"/>
      <c r="J44" s="23"/>
      <c r="K44" s="23"/>
      <c r="L44" s="167"/>
      <c r="M44" s="167"/>
      <c r="N44" s="167"/>
      <c r="O44" s="23"/>
      <c r="P44" s="23"/>
      <c r="Q44" s="167"/>
      <c r="R44" s="23"/>
    </row>
    <row r="45" spans="1:18" ht="16">
      <c r="A45" s="72"/>
      <c r="B45" s="31" t="s">
        <v>27</v>
      </c>
      <c r="C45" s="32"/>
      <c r="D45" s="167"/>
      <c r="E45" s="167"/>
      <c r="F45" s="167"/>
      <c r="G45" s="23"/>
      <c r="H45" s="167"/>
      <c r="I45" s="167"/>
      <c r="J45" s="23"/>
      <c r="K45" s="23"/>
      <c r="L45" s="167"/>
      <c r="M45" s="167"/>
      <c r="N45" s="167"/>
      <c r="O45" s="23"/>
      <c r="P45" s="23"/>
      <c r="Q45" s="167"/>
      <c r="R45" s="23"/>
    </row>
    <row r="46" spans="1:18">
      <c r="A46" s="73" t="s">
        <v>143</v>
      </c>
      <c r="B46" s="138" t="s">
        <v>28</v>
      </c>
      <c r="C46" s="139" t="s">
        <v>28</v>
      </c>
      <c r="D46" s="167"/>
      <c r="E46" s="167"/>
      <c r="F46" s="167"/>
      <c r="G46" s="23"/>
      <c r="H46" s="167"/>
      <c r="I46" s="167"/>
      <c r="J46" s="23"/>
      <c r="K46" s="23"/>
      <c r="L46" s="167"/>
      <c r="M46" s="167"/>
      <c r="N46" s="167"/>
      <c r="O46" s="258">
        <f>((SUM(N11:N41)-SUM(M11:M41))/SUM(M11:M41))</f>
        <v>0.29893658374748755</v>
      </c>
      <c r="P46" s="23"/>
      <c r="Q46" s="167"/>
      <c r="R46" s="23"/>
    </row>
    <row r="47" spans="1:18">
      <c r="A47" s="73" t="s">
        <v>141</v>
      </c>
      <c r="B47" s="33" t="s">
        <v>29</v>
      </c>
      <c r="C47" s="134" t="s">
        <v>29</v>
      </c>
      <c r="D47" s="167"/>
      <c r="E47" s="167"/>
      <c r="F47" s="167"/>
      <c r="G47" s="160">
        <f>AVERAGE(G11:G41)</f>
        <v>42.089032258064513</v>
      </c>
      <c r="H47" s="167"/>
      <c r="I47" s="167"/>
      <c r="J47" s="23"/>
      <c r="K47" s="23"/>
      <c r="L47" s="167"/>
      <c r="M47" s="167"/>
      <c r="N47" s="160">
        <f>AVERAGE(N11:N41)</f>
        <v>5457.8309677419356</v>
      </c>
      <c r="O47" s="163">
        <f>AVERAGE(O11:O41)</f>
        <v>0.36274926903614402</v>
      </c>
      <c r="P47" s="137">
        <f>AVERAGE(P11:P41)</f>
        <v>19.873528105364915</v>
      </c>
      <c r="Q47" s="167"/>
      <c r="R47" s="23"/>
    </row>
    <row r="48" spans="1:18">
      <c r="A48" s="73" t="s">
        <v>142</v>
      </c>
      <c r="B48" s="140" t="s">
        <v>30</v>
      </c>
      <c r="C48" s="141" t="s">
        <v>30</v>
      </c>
      <c r="D48" s="167"/>
      <c r="E48" s="167"/>
      <c r="F48" s="167"/>
      <c r="G48" s="161">
        <f>MAX(G11:G41)</f>
        <v>126.99</v>
      </c>
      <c r="H48" s="167"/>
      <c r="I48" s="167"/>
      <c r="J48" s="161">
        <f>MAX(J11:J41)</f>
        <v>164.4</v>
      </c>
      <c r="K48" s="161">
        <f>MAX(K11:K41)</f>
        <v>12.38</v>
      </c>
      <c r="L48" s="49"/>
      <c r="M48" s="49"/>
      <c r="N48" s="161">
        <f>MAX(N11:N41)</f>
        <v>16272</v>
      </c>
      <c r="O48" s="164">
        <f>MAX(O11:O41)</f>
        <v>1.6756247053276754</v>
      </c>
      <c r="P48" s="142">
        <f>MAX(P11:P41)</f>
        <v>110.02702702702703</v>
      </c>
      <c r="Q48" s="167"/>
      <c r="R48" s="143">
        <f>MAX(R11:R41)</f>
        <v>9.6174328026802092E-2</v>
      </c>
    </row>
    <row r="49" spans="1:18">
      <c r="A49" s="167"/>
      <c r="B49" s="144" t="s">
        <v>31</v>
      </c>
      <c r="C49" s="145" t="s">
        <v>184</v>
      </c>
      <c r="D49" s="167"/>
      <c r="E49" s="167"/>
      <c r="F49" s="167"/>
      <c r="G49" s="162">
        <f>MIN(G11:G41)</f>
        <v>10.48</v>
      </c>
      <c r="H49" s="167"/>
      <c r="I49" s="167"/>
      <c r="J49" s="162">
        <f>MIN(J11:J41)</f>
        <v>2.76</v>
      </c>
      <c r="K49" s="162">
        <f>MIN(K11:K41)</f>
        <v>-89.3</v>
      </c>
      <c r="L49" s="49"/>
      <c r="M49" s="49"/>
      <c r="N49" s="162">
        <f>MIN(N11:N41)</f>
        <v>137</v>
      </c>
      <c r="O49" s="165">
        <f>MIN(O11:O41)</f>
        <v>-0.87907082669095882</v>
      </c>
      <c r="P49" s="147">
        <f>MIN(P11:P41)</f>
        <v>0</v>
      </c>
      <c r="Q49" s="167"/>
      <c r="R49" s="146">
        <f>MIN(R11:R41)</f>
        <v>8.0972731930136963E-4</v>
      </c>
    </row>
    <row r="50" spans="1:18">
      <c r="A50" s="167"/>
      <c r="B50" s="167"/>
      <c r="C50" s="167"/>
      <c r="D50" s="167"/>
      <c r="E50" s="167"/>
      <c r="F50" s="167"/>
      <c r="G50" s="167"/>
      <c r="H50" s="82" t="s">
        <v>43</v>
      </c>
      <c r="I50" s="167"/>
      <c r="J50" s="167"/>
      <c r="K50" s="167"/>
      <c r="L50" s="167"/>
      <c r="M50" s="167"/>
      <c r="N50" s="167"/>
      <c r="O50" s="167"/>
      <c r="P50" s="167"/>
      <c r="Q50" s="167"/>
      <c r="R50" s="167"/>
    </row>
    <row r="51" spans="1:18" ht="14" thickBot="1">
      <c r="A51" s="49"/>
      <c r="B51" s="49"/>
      <c r="C51" s="49"/>
      <c r="D51" s="49"/>
      <c r="E51" s="49"/>
      <c r="F51" s="49"/>
      <c r="G51" s="49"/>
      <c r="H51" s="49"/>
      <c r="I51" s="49"/>
      <c r="J51" s="49"/>
      <c r="K51" s="49"/>
      <c r="L51" s="49"/>
      <c r="M51" s="49"/>
      <c r="N51" s="49"/>
      <c r="O51" s="49"/>
      <c r="P51" s="49"/>
      <c r="Q51" s="49"/>
      <c r="R51" s="49"/>
    </row>
    <row r="52" spans="1:18" ht="14">
      <c r="A52" s="249" t="s">
        <v>243</v>
      </c>
      <c r="B52" s="249"/>
      <c r="C52" s="254"/>
      <c r="D52" s="254"/>
      <c r="E52" s="254"/>
      <c r="F52" s="254"/>
    </row>
    <row r="53" spans="1:18" ht="14">
      <c r="A53" s="248"/>
      <c r="B53" s="248"/>
      <c r="C53" s="255" t="s">
        <v>245</v>
      </c>
      <c r="D53" s="255" t="s">
        <v>247</v>
      </c>
      <c r="E53" s="255" t="s">
        <v>248</v>
      </c>
      <c r="F53" s="255" t="s">
        <v>249</v>
      </c>
    </row>
    <row r="54" spans="1:18">
      <c r="A54" s="252" t="s">
        <v>244</v>
      </c>
      <c r="B54" s="252"/>
      <c r="C54" s="250"/>
      <c r="D54" s="250"/>
      <c r="E54" s="250"/>
      <c r="F54" s="250"/>
    </row>
    <row r="55" spans="1:18">
      <c r="A55" s="251"/>
      <c r="B55" s="251" t="s">
        <v>238</v>
      </c>
      <c r="C55" s="247">
        <v>100</v>
      </c>
      <c r="D55" s="256">
        <v>0</v>
      </c>
      <c r="E55" s="256">
        <v>200</v>
      </c>
      <c r="F55" s="256">
        <v>300</v>
      </c>
    </row>
    <row r="56" spans="1:18">
      <c r="A56" s="251"/>
      <c r="B56" s="251" t="s">
        <v>239</v>
      </c>
      <c r="C56" s="247">
        <v>100</v>
      </c>
      <c r="D56" s="256">
        <v>0</v>
      </c>
      <c r="E56" s="256">
        <v>200</v>
      </c>
      <c r="F56" s="256">
        <v>300</v>
      </c>
    </row>
    <row r="57" spans="1:18">
      <c r="A57" s="251"/>
      <c r="B57" s="251" t="s">
        <v>240</v>
      </c>
      <c r="C57" s="247">
        <v>100</v>
      </c>
      <c r="D57" s="256">
        <v>0</v>
      </c>
      <c r="E57" s="256">
        <v>200</v>
      </c>
      <c r="F57" s="256">
        <v>300</v>
      </c>
    </row>
    <row r="58" spans="1:18">
      <c r="A58" s="251"/>
      <c r="B58" s="251" t="s">
        <v>241</v>
      </c>
      <c r="C58" s="247">
        <v>100</v>
      </c>
      <c r="D58" s="256">
        <v>0</v>
      </c>
      <c r="E58" s="256">
        <v>200</v>
      </c>
      <c r="F58" s="256">
        <v>300</v>
      </c>
    </row>
    <row r="59" spans="1:18">
      <c r="A59" s="252" t="s">
        <v>246</v>
      </c>
      <c r="B59" s="252"/>
      <c r="C59" s="250"/>
      <c r="D59" s="250"/>
      <c r="E59" s="250"/>
      <c r="F59" s="250"/>
    </row>
    <row r="60" spans="1:18" ht="14" thickBot="1">
      <c r="A60" s="253"/>
      <c r="B60" s="253" t="s">
        <v>242</v>
      </c>
      <c r="C60" s="257">
        <v>0.29893658374748799</v>
      </c>
      <c r="D60" s="257">
        <v>0.31194716381865401</v>
      </c>
      <c r="E60" s="257">
        <v>0.290919588604026</v>
      </c>
      <c r="F60" s="257">
        <v>0.28520193184980602</v>
      </c>
    </row>
    <row r="63" spans="1:18">
      <c r="B63" s="324" t="s">
        <v>429</v>
      </c>
      <c r="C63" s="324"/>
      <c r="D63" s="324"/>
      <c r="E63" s="324"/>
    </row>
    <row r="64" spans="1:18">
      <c r="B64" s="324"/>
      <c r="C64" s="324"/>
      <c r="D64" s="324"/>
      <c r="E64" s="324"/>
    </row>
  </sheetData>
  <scenarios current="2" sqref="O46">
    <scenario name="Case 1" locked="1" count="4" user="Microsoft Office User" comment="Created by Microsoft Office User on 5/1/2021_x000a_Modified by Microsoft Office User on 5/1/2021">
      <inputCells r="E12" val="0"/>
      <inputCells r="E17" val="0"/>
      <inputCells r="E20" val="0"/>
      <inputCells r="E38" val="0"/>
    </scenario>
    <scenario name="Case 2" locked="1" count="4" user="Microsoft Office User" comment="Created by Microsoft Office User on 5/1/2021_x000a_Modified by Microsoft Office User on 5/1/2021">
      <inputCells r="E12" val="200"/>
      <inputCells r="E17" val="200"/>
      <inputCells r="E20" val="200"/>
      <inputCells r="E38" val="200"/>
    </scenario>
    <scenario name="Case 3" locked="1" count="4" user="Microsoft Office User" comment="Created by Microsoft Office User on 5/1/2021_x000a_Modified by Microsoft Office User on 5/1/2021">
      <inputCells r="E12" val="300"/>
      <inputCells r="E17" val="300"/>
      <inputCells r="E20" val="300"/>
      <inputCells r="E38" val="300"/>
    </scenario>
  </scenarios>
  <mergeCells count="1">
    <mergeCell ref="B63:E64"/>
  </mergeCells>
  <pageMargins left="0.7" right="0.7" top="0.75" bottom="0.75" header="0.3" footer="0.3"/>
  <pageSetup orientation="portrait" horizontalDpi="0" verticalDpi="0"/>
  <headerFooter>
    <oddHeader>&amp;CStephanie Agbenorhevi</oddHead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0D5EB8-C458-394D-87B2-B45A360E4360}">
  <sheetPr codeName="Sheet30"/>
  <dimension ref="B10:G44"/>
  <sheetViews>
    <sheetView view="pageLayout" zoomScaleNormal="100" workbookViewId="0">
      <selection activeCell="L22" sqref="L22"/>
    </sheetView>
  </sheetViews>
  <sheetFormatPr baseColWidth="10" defaultRowHeight="13"/>
  <cols>
    <col min="3" max="3" width="16.6640625" customWidth="1"/>
    <col min="4" max="4" width="16.5" customWidth="1"/>
    <col min="5" max="5" width="13.6640625" customWidth="1"/>
    <col min="6" max="6" width="11.5" customWidth="1"/>
  </cols>
  <sheetData>
    <row r="10" spans="2:7">
      <c r="B10" s="83" t="s">
        <v>0</v>
      </c>
      <c r="C10" s="83" t="s">
        <v>1</v>
      </c>
      <c r="D10" s="83" t="s">
        <v>270</v>
      </c>
      <c r="E10" s="83" t="s">
        <v>271</v>
      </c>
      <c r="F10" s="83" t="s">
        <v>269</v>
      </c>
      <c r="G10" s="303" t="s">
        <v>20</v>
      </c>
    </row>
    <row r="11" spans="2:7">
      <c r="B11" s="45" t="s">
        <v>171</v>
      </c>
      <c r="C11" s="45" t="s">
        <v>174</v>
      </c>
      <c r="D11" s="45">
        <v>100</v>
      </c>
      <c r="E11" s="119">
        <v>28.53</v>
      </c>
      <c r="F11" s="305">
        <f>D11*E11*0.01</f>
        <v>28.53</v>
      </c>
      <c r="G11" s="304" cm="1">
        <f t="array" ref="G11">COMMISN(D11,E11,F11)</f>
        <v>35</v>
      </c>
    </row>
    <row r="12" spans="2:7" ht="14">
      <c r="B12" s="48" t="s">
        <v>177</v>
      </c>
      <c r="C12" s="77" t="s">
        <v>144</v>
      </c>
      <c r="D12" s="78">
        <v>100</v>
      </c>
      <c r="E12" s="80">
        <v>105.48</v>
      </c>
      <c r="F12" s="305">
        <f t="shared" ref="F12:F41" si="0">D12*E12*0.01</f>
        <v>105.48</v>
      </c>
      <c r="G12" s="304" cm="1">
        <f t="array" ref="G12">COMMISN(D12,E12,F12)</f>
        <v>50</v>
      </c>
    </row>
    <row r="13" spans="2:7" ht="14">
      <c r="B13" s="48" t="s">
        <v>168</v>
      </c>
      <c r="C13" s="77" t="s">
        <v>66</v>
      </c>
      <c r="D13" s="78">
        <v>100</v>
      </c>
      <c r="E13" s="80">
        <v>67.88</v>
      </c>
      <c r="F13" s="305">
        <f t="shared" si="0"/>
        <v>67.88</v>
      </c>
      <c r="G13" s="304" cm="1">
        <f t="array" ref="G13">COMMISN(D13,E13,F13)</f>
        <v>50</v>
      </c>
    </row>
    <row r="14" spans="2:7" ht="14">
      <c r="B14" s="48" t="s">
        <v>91</v>
      </c>
      <c r="C14" s="77" t="s">
        <v>145</v>
      </c>
      <c r="D14" s="78">
        <v>100</v>
      </c>
      <c r="E14" s="80">
        <v>34.46</v>
      </c>
      <c r="F14" s="305">
        <f t="shared" si="0"/>
        <v>34.46</v>
      </c>
      <c r="G14" s="304" cm="1">
        <f t="array" ref="G14">COMMISN(D14,E14,F14)</f>
        <v>35</v>
      </c>
    </row>
    <row r="15" spans="2:7" ht="14">
      <c r="B15" s="48" t="s">
        <v>44</v>
      </c>
      <c r="C15" s="77" t="s">
        <v>80</v>
      </c>
      <c r="D15" s="78">
        <v>200</v>
      </c>
      <c r="E15" s="80">
        <v>23.15</v>
      </c>
      <c r="F15" s="305">
        <f t="shared" si="0"/>
        <v>46.300000000000004</v>
      </c>
      <c r="G15" s="304" cm="1">
        <f t="array" ref="G15">COMMISN(D15,E15,F15)</f>
        <v>50</v>
      </c>
    </row>
    <row r="16" spans="2:7" ht="14">
      <c r="B16" s="48" t="s">
        <v>92</v>
      </c>
      <c r="C16" s="77" t="s">
        <v>69</v>
      </c>
      <c r="D16" s="78">
        <v>100</v>
      </c>
      <c r="E16" s="80">
        <v>69.41</v>
      </c>
      <c r="F16" s="305">
        <f t="shared" si="0"/>
        <v>69.41</v>
      </c>
      <c r="G16" s="304" cm="1">
        <f t="array" ref="G16">COMMISN(D16,E16,F16)</f>
        <v>50</v>
      </c>
    </row>
    <row r="17" spans="2:7" ht="14">
      <c r="B17" s="48" t="s">
        <v>93</v>
      </c>
      <c r="C17" s="77" t="s">
        <v>70</v>
      </c>
      <c r="D17" s="78">
        <v>100</v>
      </c>
      <c r="E17" s="80">
        <v>70.63</v>
      </c>
      <c r="F17" s="305">
        <f t="shared" si="0"/>
        <v>70.63</v>
      </c>
      <c r="G17" s="304" cm="1">
        <f t="array" ref="G17">COMMISN(D17,E17,F17)</f>
        <v>50</v>
      </c>
    </row>
    <row r="18" spans="2:7" ht="14">
      <c r="B18" s="48" t="s">
        <v>173</v>
      </c>
      <c r="C18" s="77" t="s">
        <v>175</v>
      </c>
      <c r="D18" s="78">
        <v>150</v>
      </c>
      <c r="E18" s="80">
        <v>20.14</v>
      </c>
      <c r="F18" s="305">
        <f t="shared" si="0"/>
        <v>30.21</v>
      </c>
      <c r="G18" s="304" cm="1">
        <f t="array" ref="G18">COMMISN(D18,E18,F18)</f>
        <v>35</v>
      </c>
    </row>
    <row r="19" spans="2:7" ht="14">
      <c r="B19" s="43" t="s">
        <v>94</v>
      </c>
      <c r="C19" s="44" t="s">
        <v>146</v>
      </c>
      <c r="D19" s="78">
        <v>30</v>
      </c>
      <c r="E19" s="80">
        <v>40.53</v>
      </c>
      <c r="F19" s="305">
        <f t="shared" si="0"/>
        <v>12.159000000000001</v>
      </c>
      <c r="G19" s="304" cm="1">
        <f t="array" ref="G19">COMMISN(D19,E19,F19)</f>
        <v>12.159000000000001</v>
      </c>
    </row>
    <row r="20" spans="2:7" ht="14">
      <c r="B20" s="48" t="s">
        <v>52</v>
      </c>
      <c r="C20" s="77" t="s">
        <v>147</v>
      </c>
      <c r="D20" s="23">
        <v>100</v>
      </c>
      <c r="E20" s="47">
        <v>18.53</v>
      </c>
      <c r="F20" s="305">
        <f t="shared" si="0"/>
        <v>18.53</v>
      </c>
      <c r="G20" s="304" cm="1">
        <f t="array" ref="G20">COMMISN(D20,E20,F20)</f>
        <v>18.53</v>
      </c>
    </row>
    <row r="21" spans="2:7" ht="14">
      <c r="B21" s="48" t="s">
        <v>95</v>
      </c>
      <c r="C21" s="77" t="s">
        <v>148</v>
      </c>
      <c r="D21" s="78">
        <v>100</v>
      </c>
      <c r="E21" s="80">
        <v>48.72</v>
      </c>
      <c r="F21" s="305">
        <f t="shared" si="0"/>
        <v>48.72</v>
      </c>
      <c r="G21" s="304" cm="1">
        <f t="array" ref="G21">COMMISN(D21,E21,F21)</f>
        <v>50</v>
      </c>
    </row>
    <row r="22" spans="2:7" ht="42">
      <c r="B22" s="48" t="s">
        <v>96</v>
      </c>
      <c r="C22" s="77" t="s">
        <v>71</v>
      </c>
      <c r="D22" s="78">
        <v>50</v>
      </c>
      <c r="E22" s="80">
        <v>126.99</v>
      </c>
      <c r="F22" s="305">
        <f t="shared" si="0"/>
        <v>63.495000000000005</v>
      </c>
      <c r="G22" s="304" cm="1">
        <f t="array" ref="G22">COMMISN(D22,E22,F22)</f>
        <v>50</v>
      </c>
    </row>
    <row r="23" spans="2:7" ht="14">
      <c r="B23" s="48" t="s">
        <v>97</v>
      </c>
      <c r="C23" s="77" t="s">
        <v>149</v>
      </c>
      <c r="D23" s="78">
        <v>100</v>
      </c>
      <c r="E23" s="80">
        <v>56.48</v>
      </c>
      <c r="F23" s="305">
        <f t="shared" si="0"/>
        <v>56.480000000000004</v>
      </c>
      <c r="G23" s="304" cm="1">
        <f t="array" ref="G23">COMMISN(D23,E23,F23)</f>
        <v>50</v>
      </c>
    </row>
    <row r="24" spans="2:7" ht="28">
      <c r="B24" s="48" t="s">
        <v>98</v>
      </c>
      <c r="C24" s="77" t="s">
        <v>72</v>
      </c>
      <c r="D24" s="78">
        <v>100</v>
      </c>
      <c r="E24" s="80">
        <v>34.229999999999997</v>
      </c>
      <c r="F24" s="305">
        <f t="shared" si="0"/>
        <v>34.229999999999997</v>
      </c>
      <c r="G24" s="304" cm="1">
        <f t="array" ref="G24">COMMISN(D24,E24,F24)</f>
        <v>35</v>
      </c>
    </row>
    <row r="25" spans="2:7" ht="28">
      <c r="B25" s="48" t="s">
        <v>99</v>
      </c>
      <c r="C25" s="77" t="s">
        <v>73</v>
      </c>
      <c r="D25" s="78">
        <v>88</v>
      </c>
      <c r="E25" s="80">
        <v>65.040000000000006</v>
      </c>
      <c r="F25" s="305">
        <f t="shared" si="0"/>
        <v>57.235200000000006</v>
      </c>
      <c r="G25" s="304" cm="1">
        <f t="array" ref="G25">COMMISN(D25,E25,F25)</f>
        <v>50</v>
      </c>
    </row>
    <row r="26" spans="2:7" ht="14">
      <c r="B26" s="48" t="s">
        <v>100</v>
      </c>
      <c r="C26" s="77" t="s">
        <v>150</v>
      </c>
      <c r="D26" s="78">
        <v>200</v>
      </c>
      <c r="E26" s="80">
        <v>49.48</v>
      </c>
      <c r="F26" s="305">
        <f t="shared" si="0"/>
        <v>98.960000000000008</v>
      </c>
      <c r="G26" s="304" cm="1">
        <f t="array" ref="G26">COMMISN(D26,E26,F26)</f>
        <v>50</v>
      </c>
    </row>
    <row r="27" spans="2:7" ht="14">
      <c r="B27" s="48" t="s">
        <v>122</v>
      </c>
      <c r="C27" s="77" t="s">
        <v>151</v>
      </c>
      <c r="D27" s="78">
        <v>50</v>
      </c>
      <c r="E27" s="80">
        <v>35.46</v>
      </c>
      <c r="F27" s="305">
        <f t="shared" si="0"/>
        <v>17.73</v>
      </c>
      <c r="G27" s="304" cm="1">
        <f t="array" ref="G27">COMMISN(D27,E27,F27)</f>
        <v>17.73</v>
      </c>
    </row>
    <row r="28" spans="2:7" ht="14">
      <c r="B28" s="48" t="s">
        <v>165</v>
      </c>
      <c r="C28" s="77" t="s">
        <v>152</v>
      </c>
      <c r="D28" s="78">
        <v>150</v>
      </c>
      <c r="E28" s="80">
        <v>29.48</v>
      </c>
      <c r="F28" s="305">
        <f t="shared" si="0"/>
        <v>44.22</v>
      </c>
      <c r="G28" s="304" cm="1">
        <f t="array" ref="G28">COMMISN(D28,E28,F28)</f>
        <v>50</v>
      </c>
    </row>
    <row r="29" spans="2:7" ht="14">
      <c r="B29" s="48" t="s">
        <v>101</v>
      </c>
      <c r="C29" s="77" t="s">
        <v>153</v>
      </c>
      <c r="D29" s="78">
        <v>50</v>
      </c>
      <c r="E29" s="80">
        <v>23.54</v>
      </c>
      <c r="F29" s="305">
        <f t="shared" si="0"/>
        <v>11.77</v>
      </c>
      <c r="G29" s="304" cm="1">
        <f t="array" ref="G29">COMMISN(D29,E29,F29)</f>
        <v>11.77</v>
      </c>
    </row>
    <row r="30" spans="2:7" ht="14">
      <c r="B30" s="48" t="s">
        <v>102</v>
      </c>
      <c r="C30" s="77" t="s">
        <v>74</v>
      </c>
      <c r="D30" s="78">
        <v>240</v>
      </c>
      <c r="E30" s="80">
        <v>10.48</v>
      </c>
      <c r="F30" s="305">
        <f t="shared" si="0"/>
        <v>25.152000000000005</v>
      </c>
      <c r="G30" s="304" cm="1">
        <f t="array" ref="G30">COMMISN(D30,E30,F30)</f>
        <v>25.152000000000005</v>
      </c>
    </row>
    <row r="31" spans="2:7" ht="28">
      <c r="B31" s="48" t="s">
        <v>103</v>
      </c>
      <c r="C31" s="77" t="s">
        <v>75</v>
      </c>
      <c r="D31" s="78">
        <v>250</v>
      </c>
      <c r="E31" s="80">
        <v>19.21</v>
      </c>
      <c r="F31" s="305">
        <f t="shared" si="0"/>
        <v>48.024999999999999</v>
      </c>
      <c r="G31" s="304" cm="1">
        <f t="array" ref="G31">COMMISN(D31,E31,F31)</f>
        <v>50</v>
      </c>
    </row>
    <row r="32" spans="2:7" ht="14">
      <c r="B32" s="48" t="s">
        <v>167</v>
      </c>
      <c r="C32" s="77" t="s">
        <v>154</v>
      </c>
      <c r="D32" s="78">
        <v>150</v>
      </c>
      <c r="E32" s="80">
        <v>30.96</v>
      </c>
      <c r="F32" s="305">
        <f t="shared" si="0"/>
        <v>46.44</v>
      </c>
      <c r="G32" s="304" cm="1">
        <f t="array" ref="G32">COMMISN(D32,E32,F32)</f>
        <v>50</v>
      </c>
    </row>
    <row r="33" spans="2:7" ht="28">
      <c r="B33" s="77" t="s">
        <v>104</v>
      </c>
      <c r="C33" s="77" t="s">
        <v>76</v>
      </c>
      <c r="D33" s="78">
        <v>50</v>
      </c>
      <c r="E33" s="80">
        <v>22.61</v>
      </c>
      <c r="F33" s="305">
        <f t="shared" si="0"/>
        <v>11.305</v>
      </c>
      <c r="G33" s="304" cm="1">
        <f t="array" ref="G33">COMMISN(D33,E33,F33)</f>
        <v>11.305</v>
      </c>
    </row>
    <row r="34" spans="2:7" ht="14">
      <c r="B34" s="77" t="s">
        <v>105</v>
      </c>
      <c r="C34" s="77" t="s">
        <v>77</v>
      </c>
      <c r="D34" s="78">
        <v>200</v>
      </c>
      <c r="E34" s="80">
        <v>14.32</v>
      </c>
      <c r="F34" s="305">
        <f t="shared" si="0"/>
        <v>28.64</v>
      </c>
      <c r="G34" s="304" cm="1">
        <f t="array" ref="G34">COMMISN(D34,E34,F34)</f>
        <v>35</v>
      </c>
    </row>
    <row r="35" spans="2:7" ht="14">
      <c r="B35" s="77" t="s">
        <v>106</v>
      </c>
      <c r="C35" s="77" t="s">
        <v>155</v>
      </c>
      <c r="D35" s="78">
        <v>100</v>
      </c>
      <c r="E35" s="80">
        <v>43.63</v>
      </c>
      <c r="F35" s="305">
        <f t="shared" si="0"/>
        <v>43.63</v>
      </c>
      <c r="G35" s="304" cm="1">
        <f t="array" ref="G35">COMMISN(D35,E35,F35)</f>
        <v>50</v>
      </c>
    </row>
    <row r="36" spans="2:7" ht="14">
      <c r="B36" s="77" t="s">
        <v>107</v>
      </c>
      <c r="C36" s="77" t="s">
        <v>78</v>
      </c>
      <c r="D36" s="78">
        <v>10</v>
      </c>
      <c r="E36" s="80">
        <v>20.86</v>
      </c>
      <c r="F36" s="305">
        <f t="shared" si="0"/>
        <v>2.0859999999999999</v>
      </c>
      <c r="G36" s="304" cm="1">
        <f t="array" ref="G36">COMMISN(D36,E36,F36)</f>
        <v>2.0859999999999999</v>
      </c>
    </row>
    <row r="37" spans="2:7" ht="14">
      <c r="B37" s="77" t="s">
        <v>108</v>
      </c>
      <c r="C37" s="77" t="s">
        <v>156</v>
      </c>
      <c r="D37" s="78">
        <v>150</v>
      </c>
      <c r="E37" s="80">
        <v>48.01</v>
      </c>
      <c r="F37" s="305">
        <f t="shared" si="0"/>
        <v>72.015000000000001</v>
      </c>
      <c r="G37" s="304" cm="1">
        <f t="array" ref="G37">COMMISN(D37,E37,F37)</f>
        <v>50</v>
      </c>
    </row>
    <row r="38" spans="2:7" ht="14">
      <c r="B38" s="77" t="s">
        <v>109</v>
      </c>
      <c r="C38" s="77" t="s">
        <v>157</v>
      </c>
      <c r="D38" s="78">
        <v>100</v>
      </c>
      <c r="E38" s="80">
        <v>56.53</v>
      </c>
      <c r="F38" s="305">
        <f t="shared" si="0"/>
        <v>56.53</v>
      </c>
      <c r="G38" s="304" cm="1">
        <f t="array" ref="G38">COMMISN(D38,E38,F38)</f>
        <v>50</v>
      </c>
    </row>
    <row r="39" spans="2:7" ht="28">
      <c r="B39" s="77" t="s">
        <v>110</v>
      </c>
      <c r="C39" s="77" t="s">
        <v>79</v>
      </c>
      <c r="D39" s="78">
        <v>50</v>
      </c>
      <c r="E39" s="80">
        <v>59.24</v>
      </c>
      <c r="F39" s="305">
        <f t="shared" si="0"/>
        <v>29.62</v>
      </c>
      <c r="G39" s="304" cm="1">
        <f t="array" ref="G39">COMMISN(D39,E39,F39)</f>
        <v>35</v>
      </c>
    </row>
    <row r="40" spans="2:7" ht="42">
      <c r="B40" s="77" t="s">
        <v>50</v>
      </c>
      <c r="C40" s="77" t="s">
        <v>158</v>
      </c>
      <c r="D40" s="78">
        <v>50</v>
      </c>
      <c r="E40" s="80">
        <v>13.11</v>
      </c>
      <c r="F40" s="305">
        <f t="shared" si="0"/>
        <v>6.5549999999999997</v>
      </c>
      <c r="G40" s="304" cm="1">
        <f t="array" ref="G40">COMMISN(D40,E40,F40)</f>
        <v>6.5549999999999997</v>
      </c>
    </row>
    <row r="41" spans="2:7" ht="14">
      <c r="B41" s="77" t="s">
        <v>124</v>
      </c>
      <c r="C41" s="77" t="s">
        <v>125</v>
      </c>
      <c r="D41" s="78">
        <v>50</v>
      </c>
      <c r="E41" s="80">
        <v>17.64</v>
      </c>
      <c r="F41" s="305">
        <f t="shared" si="0"/>
        <v>8.82</v>
      </c>
      <c r="G41" s="304" cm="1">
        <f t="array" ref="G41">COMMISN(D41,E41,F41)</f>
        <v>8.82</v>
      </c>
    </row>
    <row r="43" spans="2:7">
      <c r="B43" s="324" t="s">
        <v>430</v>
      </c>
      <c r="C43" s="324"/>
      <c r="D43" s="324"/>
    </row>
    <row r="44" spans="2:7">
      <c r="B44" s="324"/>
      <c r="C44" s="324"/>
      <c r="D44" s="324"/>
    </row>
  </sheetData>
  <mergeCells count="1">
    <mergeCell ref="B43:D44"/>
  </mergeCells>
  <pageMargins left="0.7" right="0.7" top="0.75" bottom="0.75" header="0.3" footer="0.3"/>
  <pageSetup orientation="portrait" horizontalDpi="0" verticalDpi="0"/>
  <headerFooter>
    <oddHeader>&amp;CStephanie Agbenorhevi</oddHead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E0347-CAE9-A64D-8788-B7C2E2ED0E20}">
  <sheetPr codeName="Sheet34"/>
  <dimension ref="B10:R47"/>
  <sheetViews>
    <sheetView view="pageLayout" zoomScaleNormal="100" workbookViewId="0">
      <selection activeCell="F44" sqref="F44"/>
    </sheetView>
  </sheetViews>
  <sheetFormatPr baseColWidth="10" defaultRowHeight="13"/>
  <cols>
    <col min="3" max="3" width="16.33203125" customWidth="1"/>
    <col min="4" max="4" width="10.5" customWidth="1"/>
    <col min="5" max="5" width="16.5" customWidth="1"/>
    <col min="6" max="6" width="13.33203125" customWidth="1"/>
    <col min="7" max="7" width="14" customWidth="1"/>
    <col min="8" max="8" width="18.6640625" customWidth="1"/>
    <col min="10" max="11" width="17.1640625" customWidth="1"/>
    <col min="14" max="14" width="11.6640625" customWidth="1"/>
    <col min="17" max="18" width="18" customWidth="1"/>
  </cols>
  <sheetData>
    <row r="10" spans="2:18">
      <c r="B10" s="83" t="s">
        <v>0</v>
      </c>
      <c r="C10" s="83" t="s">
        <v>1</v>
      </c>
      <c r="D10" s="83" t="s">
        <v>2</v>
      </c>
      <c r="E10" s="83" t="s">
        <v>3</v>
      </c>
      <c r="F10" s="83" t="s">
        <v>4</v>
      </c>
      <c r="G10" s="83" t="s">
        <v>5</v>
      </c>
      <c r="H10" s="83" t="s">
        <v>16</v>
      </c>
      <c r="I10" s="83" t="s">
        <v>17</v>
      </c>
      <c r="J10" s="83" t="s">
        <v>18</v>
      </c>
      <c r="K10" s="83" t="s">
        <v>19</v>
      </c>
      <c r="L10" s="83" t="s">
        <v>20</v>
      </c>
      <c r="M10" s="83" t="s">
        <v>21</v>
      </c>
      <c r="N10" s="83" t="s">
        <v>23</v>
      </c>
      <c r="O10" s="83" t="s">
        <v>24</v>
      </c>
      <c r="P10" s="83" t="s">
        <v>25</v>
      </c>
      <c r="Q10" s="83" t="s">
        <v>26</v>
      </c>
      <c r="R10" s="83" t="s">
        <v>22</v>
      </c>
    </row>
    <row r="11" spans="2:18" ht="14">
      <c r="B11" s="48" t="s">
        <v>177</v>
      </c>
      <c r="C11" s="77" t="s">
        <v>144</v>
      </c>
      <c r="D11" s="45" t="s">
        <v>12</v>
      </c>
      <c r="E11" s="78">
        <v>100</v>
      </c>
      <c r="F11" s="79">
        <v>40291</v>
      </c>
      <c r="G11" s="80">
        <v>105.48</v>
      </c>
      <c r="H11" s="40">
        <v>123606162095</v>
      </c>
      <c r="I11" s="174">
        <v>162.72</v>
      </c>
      <c r="J11" s="39">
        <v>164.4</v>
      </c>
      <c r="K11" s="39">
        <v>9.06</v>
      </c>
      <c r="L11" s="157">
        <f>IF((E11*G11*0.01)&gt;28,28,(E11*G11*0.01))</f>
        <v>28</v>
      </c>
      <c r="M11" s="156">
        <f>G11*E11+L11</f>
        <v>10576</v>
      </c>
      <c r="N11" s="156">
        <f>I11*E11</f>
        <v>16272</v>
      </c>
      <c r="O11" s="172">
        <f>(N11-M11)/M11</f>
        <v>0.53857791225416041</v>
      </c>
      <c r="P11" s="158">
        <f>IF(K11&lt;=0,0,(I11/K11))</f>
        <v>17.960264900662249</v>
      </c>
      <c r="Q11" s="83" t="str">
        <f>IF(H11&gt;10000000000,"Large",IF(AND(H11&gt;=5000000000,H11&lt;=10000000000),"Medium",IF(H11&lt;5000000000,"Small","N/A")))</f>
        <v>Large</v>
      </c>
      <c r="R11" s="166">
        <f>N11/SUM($N$11:$N$41)</f>
        <v>9.6174328026802106E-2</v>
      </c>
    </row>
    <row r="12" spans="2:18" ht="42">
      <c r="B12" s="48" t="s">
        <v>96</v>
      </c>
      <c r="C12" s="77" t="s">
        <v>71</v>
      </c>
      <c r="D12" s="77" t="s">
        <v>10</v>
      </c>
      <c r="E12" s="78">
        <v>50</v>
      </c>
      <c r="F12" s="79">
        <v>40291</v>
      </c>
      <c r="G12" s="80">
        <v>126.99</v>
      </c>
      <c r="H12" s="173">
        <v>152508037371</v>
      </c>
      <c r="I12" s="174">
        <v>162.30000000000001</v>
      </c>
      <c r="J12" s="173">
        <v>161.69</v>
      </c>
      <c r="K12" s="39">
        <v>12.38</v>
      </c>
      <c r="L12" s="157">
        <f>IF((E12*G12*0.01)&gt;28,28,(E12*G12*0.01))</f>
        <v>28</v>
      </c>
      <c r="M12" s="156">
        <f>G12*E12+L12</f>
        <v>6377.5</v>
      </c>
      <c r="N12" s="156">
        <f>I12*E12</f>
        <v>8115.0000000000009</v>
      </c>
      <c r="O12" s="172">
        <f>(N12-M12)/M12</f>
        <v>0.27244217953743644</v>
      </c>
      <c r="P12" s="158">
        <f>IF(K12&lt;=0,0,(I12/K12))</f>
        <v>13.109854604200324</v>
      </c>
      <c r="Q12" s="83" t="str">
        <f>IF(H12&gt;10000000000,"Large",IF(AND(H12&gt;=5000000000,H12&lt;=10000000000),"Medium",IF(H12&lt;5000000000,"Small","N/A")))</f>
        <v>Large</v>
      </c>
      <c r="R12" s="166">
        <f>N12/SUM($N$11:$N$41)</f>
        <v>4.7963045227230772E-2</v>
      </c>
    </row>
    <row r="13" spans="2:18" ht="28">
      <c r="B13" s="48" t="s">
        <v>99</v>
      </c>
      <c r="C13" s="77" t="s">
        <v>73</v>
      </c>
      <c r="D13" s="77" t="s">
        <v>12</v>
      </c>
      <c r="E13" s="78">
        <v>88</v>
      </c>
      <c r="F13" s="79">
        <v>40291</v>
      </c>
      <c r="G13" s="80">
        <v>65.040000000000006</v>
      </c>
      <c r="H13" s="173">
        <v>329020961069</v>
      </c>
      <c r="I13" s="174">
        <v>121.87</v>
      </c>
      <c r="J13" s="173">
        <v>121.37</v>
      </c>
      <c r="K13" s="39">
        <v>5.93</v>
      </c>
      <c r="L13" s="157">
        <f>IF((E13*G13*0.01)&gt;28,28,(E13*G13*0.01))</f>
        <v>28</v>
      </c>
      <c r="M13" s="156">
        <f>G13*E13+L13</f>
        <v>5751.52</v>
      </c>
      <c r="N13" s="156">
        <f>I13*E13</f>
        <v>10724.560000000001</v>
      </c>
      <c r="O13" s="172">
        <f>(N13-M13)/M13</f>
        <v>0.86464795393217797</v>
      </c>
      <c r="P13" s="158">
        <f>IF(K13&lt;=0,0,(I13/K13))</f>
        <v>20.551433389544691</v>
      </c>
      <c r="Q13" s="83" t="str">
        <f>IF(H13&gt;10000000000,"Large",IF(AND(H13&gt;=5000000000,H13&lt;=10000000000),"Medium",IF(H13&lt;5000000000,"Small","N/A")))</f>
        <v>Large</v>
      </c>
      <c r="R13" s="166">
        <f>N13/SUM($N$11:$N$41)</f>
        <v>6.3386636638589039E-2</v>
      </c>
    </row>
    <row r="14" spans="2:18" ht="14">
      <c r="B14" s="48" t="s">
        <v>95</v>
      </c>
      <c r="C14" s="77" t="s">
        <v>148</v>
      </c>
      <c r="D14" s="77" t="s">
        <v>7</v>
      </c>
      <c r="E14" s="78">
        <v>100</v>
      </c>
      <c r="F14" s="79">
        <v>40291</v>
      </c>
      <c r="G14" s="80">
        <v>48.72</v>
      </c>
      <c r="H14" s="173">
        <v>23104464730</v>
      </c>
      <c r="I14" s="174">
        <v>108.8</v>
      </c>
      <c r="J14" s="173">
        <v>108.63</v>
      </c>
      <c r="K14" s="39">
        <v>3.34</v>
      </c>
      <c r="L14" s="157">
        <f>IF((E14*G14*0.01)&gt;28,28,(E14*G14*0.01))</f>
        <v>28</v>
      </c>
      <c r="M14" s="156">
        <f>G14*E14+L14</f>
        <v>4900</v>
      </c>
      <c r="N14" s="156">
        <f>I14*E14</f>
        <v>10880</v>
      </c>
      <c r="O14" s="172">
        <f>(N14-M14)/M14</f>
        <v>1.2204081632653061</v>
      </c>
      <c r="P14" s="158">
        <f>IF(K14&lt;=0,0,(I14/K14))</f>
        <v>32.574850299401199</v>
      </c>
      <c r="Q14" s="83" t="str">
        <f>IF(H14&gt;10000000000,"Large",IF(AND(H14&gt;=5000000000,H14&lt;=10000000000),"Medium",IF(H14&lt;5000000000,"Small","N/A")))</f>
        <v>Large</v>
      </c>
      <c r="R14" s="166">
        <f>N14/SUM($N$11:$N$41)</f>
        <v>6.4305352072984684E-2</v>
      </c>
    </row>
    <row r="15" spans="2:18" ht="28">
      <c r="B15" s="48" t="s">
        <v>168</v>
      </c>
      <c r="C15" s="77" t="s">
        <v>66</v>
      </c>
      <c r="D15" s="77" t="s">
        <v>6</v>
      </c>
      <c r="E15" s="78">
        <v>100</v>
      </c>
      <c r="F15" s="79">
        <v>40291</v>
      </c>
      <c r="G15" s="80">
        <v>67.88</v>
      </c>
      <c r="H15" s="173">
        <v>15857072051</v>
      </c>
      <c r="I15" s="174">
        <v>99.59</v>
      </c>
      <c r="J15" s="173">
        <v>98.04</v>
      </c>
      <c r="K15" s="39">
        <v>5.59</v>
      </c>
      <c r="L15" s="157">
        <f>IF((E15*G15*0.01)&gt;28,28,(E15*G15*0.01))</f>
        <v>28</v>
      </c>
      <c r="M15" s="156">
        <f>G15*E15+L15</f>
        <v>6816</v>
      </c>
      <c r="N15" s="156">
        <f>I15*E15</f>
        <v>9959</v>
      </c>
      <c r="O15" s="172">
        <f>(N15-M15)/M15</f>
        <v>0.46112089201877932</v>
      </c>
      <c r="P15" s="158">
        <f>IF(K15&lt;=0,0,(I15/K15))</f>
        <v>17.815742397137747</v>
      </c>
      <c r="Q15" s="83" t="str">
        <f>IF(H15&gt;10000000000,"Large",IF(AND(H15&gt;=5000000000,H15&lt;=10000000000),"Medium",IF(H15&lt;5000000000,"Small","N/A")))</f>
        <v>Large</v>
      </c>
      <c r="R15" s="166">
        <f>N15/SUM($N$11:$N$41)</f>
        <v>5.8861856736659425E-2</v>
      </c>
    </row>
    <row r="16" spans="2:18" ht="28">
      <c r="B16" s="43" t="s">
        <v>94</v>
      </c>
      <c r="C16" s="44" t="s">
        <v>146</v>
      </c>
      <c r="D16" s="77" t="s">
        <v>9</v>
      </c>
      <c r="E16" s="78">
        <v>30</v>
      </c>
      <c r="F16" s="79">
        <v>40291</v>
      </c>
      <c r="G16" s="80">
        <v>40.53</v>
      </c>
      <c r="H16" s="173">
        <v>11939394310</v>
      </c>
      <c r="I16" s="174">
        <v>96.01</v>
      </c>
      <c r="J16" s="173">
        <v>95.51</v>
      </c>
      <c r="K16" s="39">
        <v>4.34</v>
      </c>
      <c r="L16" s="157">
        <f>IF((E16*G16*0.01)&gt;28,28,(E16*G16*0.01))</f>
        <v>12.159000000000001</v>
      </c>
      <c r="M16" s="156">
        <f>G16*E16+L16</f>
        <v>1228.0590000000002</v>
      </c>
      <c r="N16" s="156">
        <f>I16*E16</f>
        <v>2880.3</v>
      </c>
      <c r="O16" s="172">
        <f>(N16-M16)/M16</f>
        <v>1.3454084860743658</v>
      </c>
      <c r="P16" s="158">
        <f>IF(K16&lt;=0,0,(I16/K16))</f>
        <v>22.122119815668206</v>
      </c>
      <c r="Q16" s="83" t="str">
        <f>IF(H16&gt;10000000000,"Large",IF(AND(H16&gt;=5000000000,H16&lt;=10000000000),"Medium",IF(H16&lt;5000000000,"Small","N/A")))</f>
        <v>Large</v>
      </c>
      <c r="R16" s="166">
        <f>N16/SUM($N$11:$N$41)</f>
        <v>1.7023778086012666E-2</v>
      </c>
    </row>
    <row r="17" spans="2:18" ht="14">
      <c r="B17" s="48" t="s">
        <v>122</v>
      </c>
      <c r="C17" s="77" t="s">
        <v>151</v>
      </c>
      <c r="D17" s="77" t="s">
        <v>12</v>
      </c>
      <c r="E17" s="78">
        <v>50</v>
      </c>
      <c r="F17" s="79">
        <v>40291</v>
      </c>
      <c r="G17" s="80">
        <v>35.46</v>
      </c>
      <c r="H17" s="173">
        <v>89250333937</v>
      </c>
      <c r="I17" s="174">
        <v>81.94</v>
      </c>
      <c r="J17" s="173">
        <v>80.89</v>
      </c>
      <c r="K17" s="39">
        <v>2.58</v>
      </c>
      <c r="L17" s="157">
        <f>IF((E17*G17*0.01)&gt;28,28,(E17*G17*0.01))</f>
        <v>17.73</v>
      </c>
      <c r="M17" s="156">
        <f>G17*E17+L17</f>
        <v>1790.73</v>
      </c>
      <c r="N17" s="156">
        <f>I17*E17</f>
        <v>4097</v>
      </c>
      <c r="O17" s="172">
        <f>(N17-M17)/M17</f>
        <v>1.2878937639956889</v>
      </c>
      <c r="P17" s="158">
        <f>IF(K17&lt;=0,0,(I17/K17))</f>
        <v>31.759689922480618</v>
      </c>
      <c r="Q17" s="83" t="str">
        <f>IF(H17&gt;10000000000,"Large",IF(AND(H17&gt;=5000000000,H17&lt;=10000000000),"Medium",IF(H17&lt;5000000000,"Small","N/A")))</f>
        <v>Large</v>
      </c>
      <c r="R17" s="166">
        <f>N17/SUM($N$11:$N$41)</f>
        <v>2.4214984139983298E-2</v>
      </c>
    </row>
    <row r="18" spans="2:18" ht="14">
      <c r="B18" s="77" t="s">
        <v>108</v>
      </c>
      <c r="C18" s="77" t="s">
        <v>156</v>
      </c>
      <c r="D18" s="77" t="s">
        <v>13</v>
      </c>
      <c r="E18" s="78">
        <v>150</v>
      </c>
      <c r="F18" s="79">
        <v>40291</v>
      </c>
      <c r="G18" s="80">
        <v>48.01</v>
      </c>
      <c r="H18" s="173">
        <v>49645861156</v>
      </c>
      <c r="I18" s="174">
        <v>78.17</v>
      </c>
      <c r="J18" s="173">
        <v>76.900000000000006</v>
      </c>
      <c r="K18" s="39">
        <v>3.46</v>
      </c>
      <c r="L18" s="157">
        <f>IF((E18*G18*0.01)&gt;28,28,(E18*G18*0.01))</f>
        <v>28</v>
      </c>
      <c r="M18" s="156">
        <f>G18*E18+L18</f>
        <v>7229.5</v>
      </c>
      <c r="N18" s="156">
        <f>I18*E18</f>
        <v>11725.5</v>
      </c>
      <c r="O18" s="172">
        <f>(N18-M18)/M18</f>
        <v>0.62189639670793273</v>
      </c>
      <c r="P18" s="158">
        <f>IF(K18&lt;=0,0,(I18/K18))</f>
        <v>22.592485549132949</v>
      </c>
      <c r="Q18" s="83" t="str">
        <f>IF(H18&gt;10000000000,"Large",IF(AND(H18&gt;=5000000000,H18&lt;=10000000000),"Medium",IF(H18&lt;5000000000,"Small","N/A")))</f>
        <v>Large</v>
      </c>
      <c r="R18" s="166">
        <f>N18/SUM($N$11:$N$41)</f>
        <v>6.9302610820935848E-2</v>
      </c>
    </row>
    <row r="19" spans="2:18" ht="14">
      <c r="B19" s="77" t="s">
        <v>109</v>
      </c>
      <c r="C19" s="77" t="s">
        <v>157</v>
      </c>
      <c r="D19" s="77" t="s">
        <v>13</v>
      </c>
      <c r="E19" s="78">
        <v>100</v>
      </c>
      <c r="F19" s="79">
        <v>40291</v>
      </c>
      <c r="G19" s="80">
        <v>56.53</v>
      </c>
      <c r="H19" s="173">
        <v>224654982481</v>
      </c>
      <c r="I19" s="174">
        <v>74.8</v>
      </c>
      <c r="J19" s="173">
        <v>74.069999999999993</v>
      </c>
      <c r="K19" s="39">
        <v>4.38</v>
      </c>
      <c r="L19" s="157">
        <f>IF((E19*G19*0.01)&gt;28,28,(E19*G19*0.01))</f>
        <v>28</v>
      </c>
      <c r="M19" s="156">
        <f>G19*E19+L19</f>
        <v>5681</v>
      </c>
      <c r="N19" s="156">
        <f>I19*E19</f>
        <v>7480</v>
      </c>
      <c r="O19" s="172">
        <f>(N19-M19)/M19</f>
        <v>0.31666960042246084</v>
      </c>
      <c r="P19" s="158">
        <f>IF(K19&lt;=0,0,(I19/K19))</f>
        <v>17.077625570776256</v>
      </c>
      <c r="Q19" s="83" t="str">
        <f>IF(H19&gt;10000000000,"Large",IF(AND(H19&gt;=5000000000,H19&lt;=10000000000),"Medium",IF(H19&lt;5000000000,"Small","N/A")))</f>
        <v>Large</v>
      </c>
      <c r="R19" s="166">
        <f>N19/SUM($N$11:$N$41)</f>
        <v>4.4209929550176975E-2</v>
      </c>
    </row>
    <row r="20" spans="2:18" ht="14">
      <c r="B20" s="48" t="s">
        <v>167</v>
      </c>
      <c r="C20" s="77" t="s">
        <v>154</v>
      </c>
      <c r="D20" s="77" t="s">
        <v>10</v>
      </c>
      <c r="E20" s="78">
        <v>150</v>
      </c>
      <c r="F20" s="79">
        <v>40291</v>
      </c>
      <c r="G20" s="80">
        <v>30.96</v>
      </c>
      <c r="H20" s="173">
        <v>502598539492</v>
      </c>
      <c r="I20" s="174">
        <v>65.5</v>
      </c>
      <c r="J20" s="173">
        <v>65.040000000000006</v>
      </c>
      <c r="K20" s="39">
        <v>2.13</v>
      </c>
      <c r="L20" s="157">
        <f>IF((E20*G20*0.01)&gt;28,28,(E20*G20*0.01))</f>
        <v>28</v>
      </c>
      <c r="M20" s="156">
        <f>G20*E20+L20</f>
        <v>4672</v>
      </c>
      <c r="N20" s="156">
        <f>I20*E20</f>
        <v>9825</v>
      </c>
      <c r="O20" s="172">
        <f>(N20-M20)/M20</f>
        <v>1.1029537671232876</v>
      </c>
      <c r="P20" s="158">
        <f>IF(K20&lt;=0,0,(I20/K20))</f>
        <v>30.751173708920188</v>
      </c>
      <c r="Q20" s="83" t="str">
        <f>IF(H20&gt;10000000000,"Large",IF(AND(H20&gt;=5000000000,H20&lt;=10000000000),"Medium",IF(H20&lt;5000000000,"Small","N/A")))</f>
        <v>Large</v>
      </c>
      <c r="R20" s="166">
        <f>N20/SUM($N$11:$N$41)</f>
        <v>5.8069860672525238E-2</v>
      </c>
    </row>
    <row r="21" spans="2:18" ht="14">
      <c r="B21" s="48" t="s">
        <v>93</v>
      </c>
      <c r="C21" s="77" t="s">
        <v>70</v>
      </c>
      <c r="D21" s="77" t="s">
        <v>7</v>
      </c>
      <c r="E21" s="78">
        <v>100</v>
      </c>
      <c r="F21" s="79">
        <v>40291</v>
      </c>
      <c r="G21" s="80">
        <v>70.63</v>
      </c>
      <c r="H21" s="173">
        <v>33323671651</v>
      </c>
      <c r="I21" s="174">
        <v>57.88</v>
      </c>
      <c r="J21" s="173">
        <v>57.84</v>
      </c>
      <c r="K21" s="39">
        <v>2.7</v>
      </c>
      <c r="L21" s="157">
        <f>IF((E21*G21*0.01)&gt;28,28,(E21*G21*0.01))</f>
        <v>28</v>
      </c>
      <c r="M21" s="156">
        <f>G21*E21+L21</f>
        <v>7091</v>
      </c>
      <c r="N21" s="156">
        <f>I21*E21</f>
        <v>5788</v>
      </c>
      <c r="O21" s="172">
        <f>(N21-M21)/M21</f>
        <v>-0.18375405443519954</v>
      </c>
      <c r="P21" s="158">
        <f>IF(K21&lt;=0,0,(I21/K21))</f>
        <v>21.437037037037037</v>
      </c>
      <c r="Q21" s="83" t="str">
        <f>IF(H21&gt;10000000000,"Large",IF(AND(H21&gt;=5000000000,H21&lt;=10000000000),"Medium",IF(H21&lt;5000000000,"Small","N/A")))</f>
        <v>Large</v>
      </c>
      <c r="R21" s="166">
        <f>N21/SUM($N$11:$N$41)</f>
        <v>3.4209501635885604E-2</v>
      </c>
    </row>
    <row r="22" spans="2:18" ht="14">
      <c r="B22" s="48" t="s">
        <v>91</v>
      </c>
      <c r="C22" s="77" t="s">
        <v>145</v>
      </c>
      <c r="D22" s="77" t="s">
        <v>7</v>
      </c>
      <c r="E22" s="78">
        <v>100</v>
      </c>
      <c r="F22" s="79">
        <v>40291</v>
      </c>
      <c r="G22" s="80">
        <v>34.46</v>
      </c>
      <c r="H22" s="173">
        <v>17434838571</v>
      </c>
      <c r="I22" s="174">
        <v>57.5</v>
      </c>
      <c r="J22" s="173">
        <v>57.28</v>
      </c>
      <c r="K22" s="39">
        <v>1.61</v>
      </c>
      <c r="L22" s="157">
        <f>IF((E22*G22*0.01)&gt;28,28,(E22*G22*0.01))</f>
        <v>28</v>
      </c>
      <c r="M22" s="156">
        <f>G22*E22+L22</f>
        <v>3474</v>
      </c>
      <c r="N22" s="156">
        <f>I22*E22</f>
        <v>5750</v>
      </c>
      <c r="O22" s="172">
        <f>(N22-M22)/M22</f>
        <v>0.65515256188831317</v>
      </c>
      <c r="P22" s="158">
        <f>IF(K22&lt;=0,0,(I22/K22))</f>
        <v>35.714285714285715</v>
      </c>
      <c r="Q22" s="83" t="str">
        <f>IF(H22&gt;10000000000,"Large",IF(AND(H22&gt;=5000000000,H22&lt;=10000000000),"Medium",IF(H22&lt;5000000000,"Small","N/A")))</f>
        <v>Large</v>
      </c>
      <c r="R22" s="166">
        <f>N22/SUM($N$11:$N$41)</f>
        <v>3.3984905737101286E-2</v>
      </c>
    </row>
    <row r="23" spans="2:18" ht="14">
      <c r="B23" s="77" t="s">
        <v>124</v>
      </c>
      <c r="C23" s="77" t="s">
        <v>125</v>
      </c>
      <c r="D23" s="77" t="s">
        <v>10</v>
      </c>
      <c r="E23" s="78">
        <v>50</v>
      </c>
      <c r="F23" s="79">
        <v>40291</v>
      </c>
      <c r="G23" s="80">
        <v>17.64</v>
      </c>
      <c r="H23" s="173">
        <v>44954899199</v>
      </c>
      <c r="I23" s="174">
        <v>47.67</v>
      </c>
      <c r="J23" s="173">
        <v>47</v>
      </c>
      <c r="K23" s="39">
        <v>-0.23</v>
      </c>
      <c r="L23" s="157">
        <f>IF((E23*G23*0.01)&gt;28,28,(E23*G23*0.01))</f>
        <v>8.82</v>
      </c>
      <c r="M23" s="156">
        <f>G23*E23+L23</f>
        <v>890.82</v>
      </c>
      <c r="N23" s="156">
        <f>I23*E23</f>
        <v>2383.5</v>
      </c>
      <c r="O23" s="172">
        <f>(N23-M23)/M23</f>
        <v>1.6756247053276754</v>
      </c>
      <c r="P23" s="158">
        <f>IF(K23&lt;=0,0,(I23/K23))</f>
        <v>0</v>
      </c>
      <c r="Q23" s="83" t="str">
        <f>IF(H23&gt;10000000000,"Large",IF(AND(H23&gt;=5000000000,H23&lt;=10000000000),"Medium",IF(H23&lt;5000000000,"Small","N/A")))</f>
        <v>Large</v>
      </c>
      <c r="R23" s="166">
        <f>N23/SUM($N$11:$N$41)</f>
        <v>1.4087482230327115E-2</v>
      </c>
    </row>
    <row r="24" spans="2:18">
      <c r="B24" s="45" t="s">
        <v>171</v>
      </c>
      <c r="C24" s="45" t="s">
        <v>174</v>
      </c>
      <c r="D24" s="45" t="s">
        <v>12</v>
      </c>
      <c r="E24" s="45">
        <v>100</v>
      </c>
      <c r="F24" s="120">
        <v>40291</v>
      </c>
      <c r="G24" s="119">
        <v>28.53</v>
      </c>
      <c r="H24" s="173">
        <v>75323415209</v>
      </c>
      <c r="I24" s="174">
        <v>43.98</v>
      </c>
      <c r="J24" s="173">
        <v>43.59</v>
      </c>
      <c r="K24" s="39">
        <v>0.94</v>
      </c>
      <c r="L24" s="157">
        <f>IF((E24*G24*0.01)&gt;28,28,(E24*G24*0.01))</f>
        <v>28</v>
      </c>
      <c r="M24" s="156">
        <f>G24*E24+L24</f>
        <v>2881</v>
      </c>
      <c r="N24" s="156">
        <f>I24*E24</f>
        <v>4398</v>
      </c>
      <c r="O24" s="172">
        <f>(N24-M24)/M24</f>
        <v>0.5265532801110725</v>
      </c>
      <c r="P24" s="158">
        <f>IF(K24&lt;=0,0,(I24/K24))</f>
        <v>46.787234042553187</v>
      </c>
      <c r="Q24" s="83" t="str">
        <f>IF(H24&gt;10000000000,"Large",IF(AND(H24&gt;=5000000000,H24&lt;=10000000000),"Medium",IF(H24&lt;5000000000,"Small","N/A")))</f>
        <v>Large</v>
      </c>
      <c r="R24" s="166">
        <f>N24/SUM($N$11:$N$41)</f>
        <v>2.5994020075090687E-2</v>
      </c>
    </row>
    <row r="25" spans="2:18" ht="28">
      <c r="B25" s="48" t="s">
        <v>98</v>
      </c>
      <c r="C25" s="77" t="s">
        <v>72</v>
      </c>
      <c r="D25" s="77" t="s">
        <v>11</v>
      </c>
      <c r="E25" s="78">
        <v>100</v>
      </c>
      <c r="F25" s="79">
        <v>40291</v>
      </c>
      <c r="G25" s="80">
        <v>34.229999999999997</v>
      </c>
      <c r="H25" s="173">
        <v>38749953547</v>
      </c>
      <c r="I25" s="174">
        <v>41.73</v>
      </c>
      <c r="J25" s="173">
        <v>41.28</v>
      </c>
      <c r="K25" s="39">
        <v>-1.64</v>
      </c>
      <c r="L25" s="157">
        <f>IF((E25*G25*0.01)&gt;28,28,(E25*G25*0.01))</f>
        <v>28</v>
      </c>
      <c r="M25" s="156">
        <f>G25*E25+L25</f>
        <v>3450.9999999999995</v>
      </c>
      <c r="N25" s="156">
        <f>I25*E25</f>
        <v>4173</v>
      </c>
      <c r="O25" s="172">
        <f>(N25-M25)/M25</f>
        <v>0.20921472037090713</v>
      </c>
      <c r="P25" s="158">
        <f>IF(K25&lt;=0,0,(I25/K25))</f>
        <v>0</v>
      </c>
      <c r="Q25" s="83" t="str">
        <f>IF(H25&gt;10000000000,"Large",IF(AND(H25&gt;=5000000000,H25&lt;=10000000000),"Medium",IF(H25&lt;5000000000,"Small","N/A")))</f>
        <v>Large</v>
      </c>
      <c r="R25" s="166">
        <f>N25/SUM($N$11:$N$41)</f>
        <v>2.4664175937551942E-2</v>
      </c>
    </row>
    <row r="26" spans="2:18" ht="14">
      <c r="B26" s="48" t="s">
        <v>100</v>
      </c>
      <c r="C26" s="77" t="s">
        <v>150</v>
      </c>
      <c r="D26" s="77" t="s">
        <v>13</v>
      </c>
      <c r="E26" s="78">
        <v>200</v>
      </c>
      <c r="F26" s="79">
        <v>40291</v>
      </c>
      <c r="G26" s="80">
        <v>49.48</v>
      </c>
      <c r="H26" s="173">
        <v>6752919598</v>
      </c>
      <c r="I26" s="174">
        <v>40.76</v>
      </c>
      <c r="J26" s="173">
        <v>39.18</v>
      </c>
      <c r="K26" s="39">
        <v>3.11</v>
      </c>
      <c r="L26" s="157">
        <f>IF((E26*G26*0.01)&gt;28,28,(E26*G26*0.01))</f>
        <v>28</v>
      </c>
      <c r="M26" s="156">
        <f>G26*E26+L26</f>
        <v>9924</v>
      </c>
      <c r="N26" s="156">
        <f>I26*E26</f>
        <v>8152</v>
      </c>
      <c r="O26" s="172">
        <f>(N26-M26)/M26</f>
        <v>-0.17855703345425231</v>
      </c>
      <c r="P26" s="158">
        <f>IF(K26&lt;=0,0,(I26/K26))</f>
        <v>13.106109324758842</v>
      </c>
      <c r="Q26" s="83" t="str">
        <f>IF(H26&gt;10000000000,"Large",IF(AND(H26&gt;=5000000000,H26&lt;=10000000000),"Medium",IF(H26&lt;5000000000,"Small","N/A")))</f>
        <v>Medium</v>
      </c>
      <c r="R26" s="166">
        <f>N26/SUM($N$11:$N$41)</f>
        <v>4.8181730707626026E-2</v>
      </c>
    </row>
    <row r="27" spans="2:18" ht="14">
      <c r="B27" s="48" t="s">
        <v>44</v>
      </c>
      <c r="C27" s="77" t="s">
        <v>80</v>
      </c>
      <c r="D27" s="77" t="s">
        <v>7</v>
      </c>
      <c r="E27" s="78">
        <v>200</v>
      </c>
      <c r="F27" s="79">
        <v>40291</v>
      </c>
      <c r="G27" s="80">
        <v>23.15</v>
      </c>
      <c r="H27" s="173">
        <v>17224304201</v>
      </c>
      <c r="I27" s="174">
        <v>40.72</v>
      </c>
      <c r="J27" s="173">
        <v>40.479999999999997</v>
      </c>
      <c r="K27" s="39">
        <v>1.38</v>
      </c>
      <c r="L27" s="157">
        <f>IF((E27*G27*0.01)&gt;28,28,(E27*G27*0.01))</f>
        <v>28</v>
      </c>
      <c r="M27" s="156">
        <f>G27*E27+L27</f>
        <v>4658</v>
      </c>
      <c r="N27" s="156">
        <f>I27*E27</f>
        <v>8144</v>
      </c>
      <c r="O27" s="172">
        <f>(N27-M27)/M27</f>
        <v>0.74838986689566334</v>
      </c>
      <c r="P27" s="158">
        <f>IF(K27&lt;=0,0,(I27/K27))</f>
        <v>29.507246376811597</v>
      </c>
      <c r="Q27" s="83" t="str">
        <f>IF(H27&gt;10000000000,"Large",IF(AND(H27&gt;=5000000000,H27&lt;=10000000000),"Medium",IF(H27&lt;5000000000,"Small","N/A")))</f>
        <v>Large</v>
      </c>
      <c r="R27" s="166">
        <f>N27/SUM($N$11:$N$41)</f>
        <v>4.813444736051354E-2</v>
      </c>
    </row>
    <row r="28" spans="2:18" ht="14">
      <c r="B28" s="48" t="s">
        <v>173</v>
      </c>
      <c r="C28" s="77" t="s">
        <v>175</v>
      </c>
      <c r="D28" s="77" t="s">
        <v>12</v>
      </c>
      <c r="E28" s="78">
        <v>150</v>
      </c>
      <c r="F28" s="79">
        <v>40291</v>
      </c>
      <c r="G28" s="80">
        <v>20.14</v>
      </c>
      <c r="H28" s="173">
        <v>109621013986</v>
      </c>
      <c r="I28" s="174">
        <v>40.71</v>
      </c>
      <c r="J28" s="173">
        <v>40.840000000000003</v>
      </c>
      <c r="K28" s="39">
        <v>0.37</v>
      </c>
      <c r="L28" s="157">
        <f>IF((E28*G28*0.01)&gt;28,28,(E28*G28*0.01))</f>
        <v>28</v>
      </c>
      <c r="M28" s="156">
        <f>G28*E28+L28</f>
        <v>3049</v>
      </c>
      <c r="N28" s="156">
        <f>I28*E28</f>
        <v>6106.5</v>
      </c>
      <c r="O28" s="172">
        <f>(N28-M28)/M28</f>
        <v>1.002787799278452</v>
      </c>
      <c r="P28" s="158">
        <f>IF(K28&lt;=0,0,(I28/K28))</f>
        <v>110.02702702702703</v>
      </c>
      <c r="Q28" s="83" t="str">
        <f>IF(H28&gt;10000000000,"Large",IF(AND(H28&gt;=5000000000,H28&lt;=10000000000),"Medium",IF(H28&lt;5000000000,"Small","N/A")))</f>
        <v>Large</v>
      </c>
      <c r="R28" s="166">
        <f>N28/SUM($N$11:$N$41)</f>
        <v>3.6091969892801563E-2</v>
      </c>
    </row>
    <row r="29" spans="2:18" ht="28">
      <c r="B29" s="48" t="s">
        <v>97</v>
      </c>
      <c r="C29" s="77" t="s">
        <v>149</v>
      </c>
      <c r="D29" s="77" t="s">
        <v>11</v>
      </c>
      <c r="E29" s="78">
        <v>100</v>
      </c>
      <c r="F29" s="79">
        <v>40291</v>
      </c>
      <c r="G29" s="80">
        <v>56.48</v>
      </c>
      <c r="H29" s="173">
        <v>3457914174</v>
      </c>
      <c r="I29" s="174">
        <v>39.96</v>
      </c>
      <c r="J29" s="173">
        <v>39</v>
      </c>
      <c r="K29" s="39">
        <v>2.0699999999999998</v>
      </c>
      <c r="L29" s="157">
        <f>IF((E29*G29*0.01)&gt;28,28,(E29*G29*0.01))</f>
        <v>28</v>
      </c>
      <c r="M29" s="156">
        <f>G29*E29+L29</f>
        <v>5676</v>
      </c>
      <c r="N29" s="156">
        <f>I29*E29</f>
        <v>3996</v>
      </c>
      <c r="O29" s="172">
        <f>(N29-M29)/M29</f>
        <v>-0.29598308668076112</v>
      </c>
      <c r="P29" s="158">
        <f>IF(K29&lt;=0,0,(I29/K29))</f>
        <v>19.304347826086957</v>
      </c>
      <c r="Q29" s="83" t="str">
        <f>IF(H29&gt;10000000000,"Large",IF(AND(H29&gt;=5000000000,H29&lt;=10000000000),"Medium",IF(H29&lt;5000000000,"Small","N/A")))</f>
        <v>Small</v>
      </c>
      <c r="R29" s="166">
        <f>N29/SUM($N$11:$N$41)</f>
        <v>2.3618031882688129E-2</v>
      </c>
    </row>
    <row r="30" spans="2:18" ht="28">
      <c r="B30" s="48" t="s">
        <v>92</v>
      </c>
      <c r="C30" s="77" t="s">
        <v>69</v>
      </c>
      <c r="D30" s="77" t="s">
        <v>8</v>
      </c>
      <c r="E30" s="78">
        <v>100</v>
      </c>
      <c r="F30" s="79">
        <v>40291</v>
      </c>
      <c r="G30" s="80">
        <v>69.41</v>
      </c>
      <c r="H30" s="173">
        <v>20590550000</v>
      </c>
      <c r="I30" s="174">
        <v>39.700000000000003</v>
      </c>
      <c r="J30" s="173">
        <v>39.25</v>
      </c>
      <c r="K30" s="39">
        <v>-6.52</v>
      </c>
      <c r="L30" s="157">
        <f>IF((E30*G30*0.01)&gt;28,28,(E30*G30*0.01))</f>
        <v>28</v>
      </c>
      <c r="M30" s="156">
        <f>G30*E30+L30</f>
        <v>6969</v>
      </c>
      <c r="N30" s="156">
        <f>I30*E30</f>
        <v>3970.0000000000005</v>
      </c>
      <c r="O30" s="172">
        <f>(N30-M30)/M30</f>
        <v>-0.43033433778160418</v>
      </c>
      <c r="P30" s="158">
        <f>IF(K30&lt;=0,0,(I30/K30))</f>
        <v>0</v>
      </c>
      <c r="Q30" s="83" t="str">
        <f>IF(H30&gt;10000000000,"Large",IF(AND(H30&gt;=5000000000,H30&lt;=10000000000),"Medium",IF(H30&lt;5000000000,"Small","N/A")))</f>
        <v>Large</v>
      </c>
      <c r="R30" s="166">
        <f>N30/SUM($N$11:$N$41)</f>
        <v>2.346436100457254E-2</v>
      </c>
    </row>
    <row r="31" spans="2:18" ht="14">
      <c r="B31" s="77" t="s">
        <v>107</v>
      </c>
      <c r="C31" s="77" t="s">
        <v>78</v>
      </c>
      <c r="D31" s="77" t="s">
        <v>14</v>
      </c>
      <c r="E31" s="78">
        <v>10</v>
      </c>
      <c r="F31" s="79">
        <v>40291</v>
      </c>
      <c r="G31" s="80">
        <v>20.86</v>
      </c>
      <c r="H31" s="173">
        <v>22579661595</v>
      </c>
      <c r="I31" s="174">
        <v>39.409999999999997</v>
      </c>
      <c r="J31" s="173">
        <v>38.869999999999997</v>
      </c>
      <c r="K31" s="39">
        <v>1.76</v>
      </c>
      <c r="L31" s="157">
        <f>IF((E31*G31*0.01)&gt;28,28,(E31*G31*0.01))</f>
        <v>2.0859999999999999</v>
      </c>
      <c r="M31" s="156">
        <f>G31*E31+L31</f>
        <v>210.68600000000001</v>
      </c>
      <c r="N31" s="156">
        <f>I31*E31</f>
        <v>394.09999999999997</v>
      </c>
      <c r="O31" s="172">
        <f>(N31-M31)/M31</f>
        <v>0.87055618313509175</v>
      </c>
      <c r="P31" s="158">
        <f>IF(K31&lt;=0,0,(I31/K31))</f>
        <v>22.392045454545453</v>
      </c>
      <c r="Q31" s="83" t="str">
        <f>IF(H31&gt;10000000000,"Large",IF(AND(H31&gt;=5000000000,H31&lt;=10000000000),"Medium",IF(H31&lt;5000000000,"Small","N/A")))</f>
        <v>Large</v>
      </c>
      <c r="R31" s="166">
        <f>N31/SUM($N$11:$N$41)</f>
        <v>2.3292958871289765E-3</v>
      </c>
    </row>
    <row r="32" spans="2:18" ht="14">
      <c r="B32" s="77" t="s">
        <v>105</v>
      </c>
      <c r="C32" s="77" t="s">
        <v>77</v>
      </c>
      <c r="D32" s="77" t="s">
        <v>10</v>
      </c>
      <c r="E32" s="78">
        <v>200</v>
      </c>
      <c r="F32" s="79">
        <v>40291</v>
      </c>
      <c r="G32" s="80">
        <v>14.32</v>
      </c>
      <c r="H32" s="173">
        <v>4504830000</v>
      </c>
      <c r="I32" s="174">
        <v>35.89</v>
      </c>
      <c r="J32" s="173">
        <v>36.299999999999997</v>
      </c>
      <c r="K32" s="39">
        <v>1.49</v>
      </c>
      <c r="L32" s="157">
        <f>IF((E32*G32*0.01)&gt;28,28,(E32*G32*0.01))</f>
        <v>28</v>
      </c>
      <c r="M32" s="156">
        <f>G32*E32+L32</f>
        <v>2892</v>
      </c>
      <c r="N32" s="156">
        <f>I32*E32</f>
        <v>7178</v>
      </c>
      <c r="O32" s="172">
        <f>(N32-M32)/M32</f>
        <v>1.4820193637621024</v>
      </c>
      <c r="P32" s="158">
        <f>IF(K32&lt;=0,0,(I32/K32))</f>
        <v>24.087248322147651</v>
      </c>
      <c r="Q32" s="83" t="str">
        <f>IF(H32&gt;10000000000,"Large",IF(AND(H32&gt;=5000000000,H32&lt;=10000000000),"Medium",IF(H32&lt;5000000000,"Small","N/A")))</f>
        <v>Small</v>
      </c>
      <c r="R32" s="166">
        <f>N32/SUM($N$11:$N$41)</f>
        <v>4.2424983196680525E-2</v>
      </c>
    </row>
    <row r="33" spans="2:18" ht="28">
      <c r="B33" s="77" t="s">
        <v>110</v>
      </c>
      <c r="C33" s="77" t="s">
        <v>79</v>
      </c>
      <c r="D33" s="77" t="s">
        <v>15</v>
      </c>
      <c r="E33" s="78">
        <v>50</v>
      </c>
      <c r="F33" s="79">
        <v>40291</v>
      </c>
      <c r="G33" s="80">
        <v>59.24</v>
      </c>
      <c r="H33" s="173">
        <v>4953343427</v>
      </c>
      <c r="I33" s="174">
        <v>30.51</v>
      </c>
      <c r="J33" s="173">
        <v>28.42</v>
      </c>
      <c r="K33" s="39">
        <v>-2.81</v>
      </c>
      <c r="L33" s="157">
        <f>IF((E33*G33*0.01)&gt;28,28,(E33*G33*0.01))</f>
        <v>28</v>
      </c>
      <c r="M33" s="156">
        <f>G33*E33+L33</f>
        <v>2990</v>
      </c>
      <c r="N33" s="156">
        <f>I33*E33</f>
        <v>1525.5</v>
      </c>
      <c r="O33" s="172">
        <f>(N33-M33)/M33</f>
        <v>-0.4897993311036789</v>
      </c>
      <c r="P33" s="158">
        <f>IF(K33&lt;=0,0,(I33/K33))</f>
        <v>0</v>
      </c>
      <c r="Q33" s="83" t="str">
        <f>IF(H33&gt;10000000000,"Large",IF(AND(H33&gt;=5000000000,H33&lt;=10000000000),"Medium",IF(H33&lt;5000000000,"Small","N/A")))</f>
        <v>Small</v>
      </c>
      <c r="R33" s="166">
        <f>N33/SUM($N$11:$N$41)</f>
        <v>9.0163432525126978E-3</v>
      </c>
    </row>
    <row r="34" spans="2:18" ht="14">
      <c r="B34" s="48" t="s">
        <v>165</v>
      </c>
      <c r="C34" s="77" t="s">
        <v>152</v>
      </c>
      <c r="D34" s="77" t="s">
        <v>13</v>
      </c>
      <c r="E34" s="78">
        <v>150</v>
      </c>
      <c r="F34" s="79">
        <v>40291</v>
      </c>
      <c r="G34" s="80">
        <v>29.48</v>
      </c>
      <c r="H34" s="173">
        <v>8877882353</v>
      </c>
      <c r="I34" s="174">
        <v>30.01</v>
      </c>
      <c r="J34" s="173">
        <v>29.09</v>
      </c>
      <c r="K34" s="39">
        <v>1.99</v>
      </c>
      <c r="L34" s="157">
        <f>IF((E34*G34*0.01)&gt;28,28,(E34*G34*0.01))</f>
        <v>28</v>
      </c>
      <c r="M34" s="156">
        <f>G34*E34+L34</f>
        <v>4450</v>
      </c>
      <c r="N34" s="156">
        <f>I34*E34</f>
        <v>4501.5</v>
      </c>
      <c r="O34" s="172">
        <f>(N34-M34)/M34</f>
        <v>1.1573033707865169E-2</v>
      </c>
      <c r="P34" s="158">
        <f>IF(K34&lt;=0,0,(I34/K34))</f>
        <v>15.080402010050252</v>
      </c>
      <c r="Q34" s="83" t="str">
        <f>IF(H34&gt;10000000000,"Large",IF(AND(H34&gt;=5000000000,H34&lt;=10000000000),"Medium",IF(H34&lt;5000000000,"Small","N/A")))</f>
        <v>Medium</v>
      </c>
      <c r="R34" s="166">
        <f>N34/SUM($N$11:$N$41)</f>
        <v>2.660574837835851E-2</v>
      </c>
    </row>
    <row r="35" spans="2:18" ht="28">
      <c r="B35" s="48" t="s">
        <v>101</v>
      </c>
      <c r="C35" s="77" t="s">
        <v>153</v>
      </c>
      <c r="D35" s="77" t="s">
        <v>9</v>
      </c>
      <c r="E35" s="78">
        <v>50</v>
      </c>
      <c r="F35" s="79">
        <v>40291</v>
      </c>
      <c r="G35" s="80">
        <v>23.54</v>
      </c>
      <c r="H35" s="173">
        <v>8600521944</v>
      </c>
      <c r="I35" s="174">
        <v>25.21</v>
      </c>
      <c r="J35" s="173">
        <v>25.11</v>
      </c>
      <c r="K35" s="39">
        <v>0.92</v>
      </c>
      <c r="L35" s="157">
        <f>IF((E35*G35*0.01)&gt;28,28,(E35*G35*0.01))</f>
        <v>11.77</v>
      </c>
      <c r="M35" s="156">
        <f>G35*E35+L35</f>
        <v>1188.77</v>
      </c>
      <c r="N35" s="156">
        <f>I35*E35</f>
        <v>1260.5</v>
      </c>
      <c r="O35" s="172">
        <f>(N35-M35)/M35</f>
        <v>6.0339678827695871E-2</v>
      </c>
      <c r="P35" s="158">
        <f>IF(K35&lt;=0,0,(I35/K35))</f>
        <v>27.402173913043477</v>
      </c>
      <c r="Q35" s="83" t="str">
        <f>IF(H35&gt;10000000000,"Large",IF(AND(H35&gt;=5000000000,H35&lt;=10000000000),"Medium",IF(H35&lt;5000000000,"Small","N/A")))</f>
        <v>Medium</v>
      </c>
      <c r="R35" s="166">
        <f>N35/SUM($N$11:$N$41)</f>
        <v>7.4500823794115077E-3</v>
      </c>
    </row>
    <row r="36" spans="2:18" ht="14">
      <c r="B36" s="48" t="s">
        <v>52</v>
      </c>
      <c r="C36" s="77" t="s">
        <v>147</v>
      </c>
      <c r="D36" s="45" t="s">
        <v>10</v>
      </c>
      <c r="E36" s="23">
        <v>100</v>
      </c>
      <c r="F36" s="46">
        <v>40291</v>
      </c>
      <c r="G36" s="47">
        <v>18.53</v>
      </c>
      <c r="H36" s="173">
        <v>31076572682</v>
      </c>
      <c r="I36" s="174">
        <v>18.52</v>
      </c>
      <c r="J36" s="173">
        <v>18.38</v>
      </c>
      <c r="K36" s="39">
        <v>1.46</v>
      </c>
      <c r="L36" s="157">
        <f>IF((E36*G36*0.01)&gt;28,28,(E36*G36*0.01))</f>
        <v>18.53</v>
      </c>
      <c r="M36" s="156">
        <f>G36*E36+L36</f>
        <v>1871.53</v>
      </c>
      <c r="N36" s="156">
        <f>I36*E36</f>
        <v>1852</v>
      </c>
      <c r="O36" s="172">
        <f>(N36-M36)/M36</f>
        <v>-1.0435312284601355E-2</v>
      </c>
      <c r="P36" s="158">
        <f>IF(K36&lt;=0,0,(I36/K36))</f>
        <v>12.684931506849315</v>
      </c>
      <c r="Q36" s="83" t="str">
        <f>IF(H36&gt;10000000000,"Large",IF(AND(H36&gt;=5000000000,H36&lt;=10000000000),"Medium",IF(H36&lt;5000000000,"Small","N/A")))</f>
        <v>Large</v>
      </c>
      <c r="R36" s="166">
        <f>N36/SUM($N$11:$N$41)</f>
        <v>1.0946094856541144E-2</v>
      </c>
    </row>
    <row r="37" spans="2:18" ht="28">
      <c r="B37" s="48" t="s">
        <v>103</v>
      </c>
      <c r="C37" s="77" t="s">
        <v>75</v>
      </c>
      <c r="D37" s="77" t="s">
        <v>14</v>
      </c>
      <c r="E37" s="78">
        <v>250</v>
      </c>
      <c r="F37" s="79">
        <v>40291</v>
      </c>
      <c r="G37" s="80">
        <v>19.21</v>
      </c>
      <c r="H37" s="173">
        <v>34041939137</v>
      </c>
      <c r="I37" s="174">
        <v>17.25</v>
      </c>
      <c r="J37" s="173">
        <v>16.96</v>
      </c>
      <c r="K37" s="39">
        <v>1.41</v>
      </c>
      <c r="L37" s="157">
        <f>IF((E37*G37*0.01)&gt;28,28,(E37*G37*0.01))</f>
        <v>28</v>
      </c>
      <c r="M37" s="156">
        <f>G37*E37+L37</f>
        <v>4830.5</v>
      </c>
      <c r="N37" s="156">
        <f>I37*E37</f>
        <v>4312.5</v>
      </c>
      <c r="O37" s="172">
        <f>(N37-M37)/M37</f>
        <v>-0.10723527585136114</v>
      </c>
      <c r="P37" s="158">
        <f>IF(K37&lt;=0,0,(I37/K37))</f>
        <v>12.23404255319149</v>
      </c>
      <c r="Q37" s="83" t="str">
        <f>IF(H37&gt;10000000000,"Large",IF(AND(H37&gt;=5000000000,H37&lt;=10000000000),"Medium",IF(H37&lt;5000000000,"Small","N/A")))</f>
        <v>Large</v>
      </c>
      <c r="R37" s="166">
        <f>N37/SUM($N$11:$N$41)</f>
        <v>2.5488679302825962E-2</v>
      </c>
    </row>
    <row r="38" spans="2:18" ht="28">
      <c r="B38" s="77" t="s">
        <v>104</v>
      </c>
      <c r="C38" s="77" t="s">
        <v>76</v>
      </c>
      <c r="D38" s="77" t="s">
        <v>8</v>
      </c>
      <c r="E38" s="78">
        <v>50</v>
      </c>
      <c r="F38" s="79">
        <v>40291</v>
      </c>
      <c r="G38" s="80">
        <v>22.61</v>
      </c>
      <c r="H38" s="173">
        <v>3412743063</v>
      </c>
      <c r="I38" s="174">
        <v>11.77</v>
      </c>
      <c r="J38" s="173">
        <v>11.96</v>
      </c>
      <c r="K38" s="39">
        <v>-3.64</v>
      </c>
      <c r="L38" s="157">
        <f>IF((E38*G38*0.01)&gt;28,28,(E38*G38*0.01))</f>
        <v>11.305</v>
      </c>
      <c r="M38" s="156">
        <f>G38*E38+L38</f>
        <v>1141.8050000000001</v>
      </c>
      <c r="N38" s="156">
        <f>I38*E38</f>
        <v>588.5</v>
      </c>
      <c r="O38" s="172">
        <f>(N38-M38)/M38</f>
        <v>-0.48458799882641962</v>
      </c>
      <c r="P38" s="158">
        <f>IF(K38&lt;=0,0,(I38/K38))</f>
        <v>0</v>
      </c>
      <c r="Q38" s="83" t="str">
        <f>IF(H38&gt;10000000000,"Large",IF(AND(H38&gt;=5000000000,H38&lt;=10000000000),"Medium",IF(H38&lt;5000000000,"Small","N/A")))</f>
        <v>Small</v>
      </c>
      <c r="R38" s="166">
        <f>N38/SUM($N$11:$N$41)</f>
        <v>3.4782812219624534E-3</v>
      </c>
    </row>
    <row r="39" spans="2:18" ht="14">
      <c r="B39" s="48" t="s">
        <v>102</v>
      </c>
      <c r="C39" s="77" t="s">
        <v>74</v>
      </c>
      <c r="D39" s="77" t="s">
        <v>14</v>
      </c>
      <c r="E39" s="78">
        <v>240</v>
      </c>
      <c r="F39" s="79">
        <v>40291</v>
      </c>
      <c r="G39" s="80">
        <v>10.48</v>
      </c>
      <c r="H39" s="173">
        <v>1172951869</v>
      </c>
      <c r="I39" s="174">
        <v>8.7200000000000006</v>
      </c>
      <c r="J39" s="173">
        <v>8.6999999999999993</v>
      </c>
      <c r="K39" s="39">
        <v>-2.54</v>
      </c>
      <c r="L39" s="157">
        <f>IF((E39*G39*0.01)&gt;28,28,(E39*G39*0.01))</f>
        <v>25.152000000000005</v>
      </c>
      <c r="M39" s="156">
        <f>G39*E39+L39</f>
        <v>2540.3520000000003</v>
      </c>
      <c r="N39" s="156">
        <f>I39*E39</f>
        <v>2092.8000000000002</v>
      </c>
      <c r="O39" s="172">
        <f>(N39-M39)/M39</f>
        <v>-0.17617715970070291</v>
      </c>
      <c r="P39" s="158">
        <f>IF(K39&lt;=0,0,(I39/K39))</f>
        <v>0</v>
      </c>
      <c r="Q39" s="83" t="str">
        <f>IF(H39&gt;10000000000,"Large",IF(AND(H39&gt;=5000000000,H39&lt;=10000000000),"Medium",IF(H39&lt;5000000000,"Small","N/A")))</f>
        <v>Small</v>
      </c>
      <c r="R39" s="166">
        <f>N39/SUM($N$11:$N$41)</f>
        <v>1.2369323604627057E-2</v>
      </c>
    </row>
    <row r="40" spans="2:18" ht="14">
      <c r="B40" s="77" t="s">
        <v>106</v>
      </c>
      <c r="C40" s="77" t="s">
        <v>155</v>
      </c>
      <c r="D40" s="77" t="s">
        <v>8</v>
      </c>
      <c r="E40" s="78">
        <v>100</v>
      </c>
      <c r="F40" s="79">
        <v>40291</v>
      </c>
      <c r="G40" s="80">
        <v>43.63</v>
      </c>
      <c r="H40" s="173">
        <v>1279686860</v>
      </c>
      <c r="I40" s="174">
        <v>5.31</v>
      </c>
      <c r="J40" s="173">
        <v>5.23</v>
      </c>
      <c r="K40" s="39">
        <v>-3.82</v>
      </c>
      <c r="L40" s="157">
        <f>IF((E40*G40*0.01)&gt;28,28,(E40*G40*0.01))</f>
        <v>28</v>
      </c>
      <c r="M40" s="156">
        <f>G40*E40+L40</f>
        <v>4391</v>
      </c>
      <c r="N40" s="156">
        <f>I40*E40</f>
        <v>531</v>
      </c>
      <c r="O40" s="172">
        <f>(N40-M40)/M40</f>
        <v>-0.87907082669095882</v>
      </c>
      <c r="P40" s="158">
        <f>IF(K40&lt;=0,0,(I40/K40))</f>
        <v>0</v>
      </c>
      <c r="Q40" s="83" t="str">
        <f>IF(H40&gt;10000000000,"Large",IF(AND(H40&gt;=5000000000,H40&lt;=10000000000),"Medium",IF(H40&lt;5000000000,"Small","N/A")))</f>
        <v>Small</v>
      </c>
      <c r="R40" s="166">
        <f>N40/SUM($N$11:$N$41)</f>
        <v>3.1384321645914403E-3</v>
      </c>
    </row>
    <row r="41" spans="2:18" ht="42">
      <c r="B41" s="77" t="s">
        <v>50</v>
      </c>
      <c r="C41" s="77" t="s">
        <v>158</v>
      </c>
      <c r="D41" s="77" t="s">
        <v>11</v>
      </c>
      <c r="E41" s="78">
        <v>50</v>
      </c>
      <c r="F41" s="79">
        <v>40291</v>
      </c>
      <c r="G41" s="80">
        <v>13.11</v>
      </c>
      <c r="H41" s="173">
        <v>50166800</v>
      </c>
      <c r="I41" s="174">
        <v>2.74</v>
      </c>
      <c r="J41" s="173">
        <v>2.76</v>
      </c>
      <c r="K41" s="39">
        <v>-89.3</v>
      </c>
      <c r="L41" s="157">
        <f>IF((E41*G41*0.01)&gt;28,28,(E41*G41*0.01))</f>
        <v>6.5549999999999997</v>
      </c>
      <c r="M41" s="156">
        <f>G41*E41+L41</f>
        <v>662.05499999999995</v>
      </c>
      <c r="N41" s="156">
        <f>I41*E41</f>
        <v>137</v>
      </c>
      <c r="O41" s="172">
        <f>(N41-M41)/M41</f>
        <v>-0.7930685517064292</v>
      </c>
      <c r="P41" s="158">
        <f>IF(K41&lt;=0,0,(I41/K41))</f>
        <v>0</v>
      </c>
      <c r="Q41" s="83" t="str">
        <f>IF(H41&gt;10000000000,"Large",IF(AND(H41&gt;=5000000000,H41&lt;=10000000000),"Medium",IF(H41&lt;5000000000,"Small","N/A")))</f>
        <v>Small</v>
      </c>
      <c r="R41" s="166">
        <f>N41/SUM($N$11:$N$41)</f>
        <v>8.0972731930136974E-4</v>
      </c>
    </row>
    <row r="46" spans="2:18">
      <c r="B46" s="323" t="s">
        <v>431</v>
      </c>
      <c r="C46" s="323"/>
    </row>
    <row r="47" spans="2:18">
      <c r="B47" s="323"/>
      <c r="C47" s="323"/>
    </row>
  </sheetData>
  <sortState xmlns:xlrd2="http://schemas.microsoft.com/office/spreadsheetml/2017/richdata2" ref="B11:R41">
    <sortCondition descending="1" ref="I11:I41"/>
  </sortState>
  <mergeCells count="1">
    <mergeCell ref="B46:C47"/>
  </mergeCells>
  <pageMargins left="0.7" right="0.7" top="0.75" bottom="0.75" header="0.3" footer="0.3"/>
  <pageSetup orientation="portrait" horizontalDpi="0" verticalDpi="0"/>
  <headerFooter>
    <oddHeader>&amp;CStephanie Agbenorhevi</oddHeader>
  </headerFooter>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9">
    <tabColor rgb="FFFF0000"/>
  </sheetPr>
  <dimension ref="A3:C4"/>
  <sheetViews>
    <sheetView workbookViewId="0">
      <selection activeCell="B4" sqref="B4:C4"/>
    </sheetView>
  </sheetViews>
  <sheetFormatPr baseColWidth="10" defaultColWidth="8.83203125" defaultRowHeight="13"/>
  <cols>
    <col min="1" max="1" width="26.83203125" customWidth="1"/>
    <col min="2" max="2" width="11.5" customWidth="1"/>
  </cols>
  <sheetData>
    <row r="3" spans="1:3" ht="30">
      <c r="A3" s="129" t="s">
        <v>179</v>
      </c>
      <c r="B3" s="301" t="s">
        <v>207</v>
      </c>
      <c r="C3" s="301"/>
    </row>
    <row r="4" spans="1:3" ht="30">
      <c r="A4" s="129" t="s">
        <v>180</v>
      </c>
      <c r="B4" s="302" t="s">
        <v>208</v>
      </c>
      <c r="C4" s="302"/>
    </row>
  </sheetData>
  <sheetProtection algorithmName="SHA-512" hashValue="vZxnOa7DA9+pC4dZjIADzyncwoDqIMRDl6uxkocFMRnnjSgwgf72GXJl7wEiVevqLwRzWMJkobfcTCak9s1MmQ==" saltValue="73PqeK/kfNLK3wIrWcxsCA==" spinCount="100000" sheet="1" objects="1" scenarios="1"/>
  <mergeCells count="2">
    <mergeCell ref="B3:C3"/>
    <mergeCell ref="B4:C4"/>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32</vt:i4>
      </vt:variant>
      <vt:variant>
        <vt:lpstr>Named Ranges</vt:lpstr>
      </vt:variant>
      <vt:variant>
        <vt:i4>17</vt:i4>
      </vt:variant>
    </vt:vector>
  </HeadingPairs>
  <TitlesOfParts>
    <vt:vector size="49" baseType="lpstr">
      <vt:lpstr>Documentation</vt:lpstr>
      <vt:lpstr>Portfolio-download_Sheet</vt:lpstr>
      <vt:lpstr>Portfolio</vt:lpstr>
      <vt:lpstr>IS1-Bottom5_investment</vt:lpstr>
      <vt:lpstr>IS2-Stock Summary</vt:lpstr>
      <vt:lpstr>ISQ1-ISQ4</vt:lpstr>
      <vt:lpstr>ISQ5A-Commission-flatfee</vt:lpstr>
      <vt:lpstr>ISQ5B-Commission-1%</vt:lpstr>
      <vt:lpstr>ISQ6-&lt;40Positive Return</vt:lpstr>
      <vt:lpstr>ISQ7-&lt;40Negative Return</vt:lpstr>
      <vt:lpstr>ISQ8-Stock Prices</vt:lpstr>
      <vt:lpstr>Portfolio-TYD</vt:lpstr>
      <vt:lpstr>TYD2</vt:lpstr>
      <vt:lpstr>TYD3-New Stock Info</vt:lpstr>
      <vt:lpstr>TYD4-Large Cap Data</vt:lpstr>
      <vt:lpstr>TYD5-Small Cap Data</vt:lpstr>
      <vt:lpstr>TYD6-Top7</vt:lpstr>
      <vt:lpstr>TYD7-PieChart</vt:lpstr>
      <vt:lpstr>TYD8-Subtotal</vt:lpstr>
      <vt:lpstr>TYD9-Scatterplot</vt:lpstr>
      <vt:lpstr>TYD10-GSKChart</vt:lpstr>
      <vt:lpstr>GSK-66dayinformation</vt:lpstr>
      <vt:lpstr>P2Q1</vt:lpstr>
      <vt:lpstr>P2Q2</vt:lpstr>
      <vt:lpstr>P2Q3A</vt:lpstr>
      <vt:lpstr>P2Q3B</vt:lpstr>
      <vt:lpstr>P2Q4A</vt:lpstr>
      <vt:lpstr>P2Q4B</vt:lpstr>
      <vt:lpstr>P2Q5</vt:lpstr>
      <vt:lpstr>P2Q6A</vt:lpstr>
      <vt:lpstr>P2Q6B</vt:lpstr>
      <vt:lpstr>Identify_Wednesday4PM</vt:lpstr>
      <vt:lpstr>Criteria</vt:lpstr>
      <vt:lpstr>Criteria_TYD2</vt:lpstr>
      <vt:lpstr>Criteria_TYD3</vt:lpstr>
      <vt:lpstr>Criteria_TYD4</vt:lpstr>
      <vt:lpstr>Criteria_TYD5</vt:lpstr>
      <vt:lpstr>CriteriaTYD2</vt:lpstr>
      <vt:lpstr>Database</vt:lpstr>
      <vt:lpstr>Portfolio!Extract</vt:lpstr>
      <vt:lpstr>'Portfolio-TYD'!Extract</vt:lpstr>
      <vt:lpstr>Extract_TYD3</vt:lpstr>
      <vt:lpstr>Filter_Criteria_P2Q2</vt:lpstr>
      <vt:lpstr>'Portfolio-download_Sheet'!MSN_MoneyCentral_Investor_Stock_Quotes</vt:lpstr>
      <vt:lpstr>P2Database</vt:lpstr>
      <vt:lpstr>P2Q2_AdvFilt_Database</vt:lpstr>
      <vt:lpstr>P2Q2_Criteria</vt:lpstr>
      <vt:lpstr>'IS1-Bottom5_investment'!Print_Area</vt:lpstr>
      <vt:lpstr>Portfolio!Print_Area</vt:lpstr>
    </vt:vector>
  </TitlesOfParts>
  <Company>personal use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Final Case 2017F</dc:title>
  <dc:creator>Pereira</dc:creator>
  <cp:lastModifiedBy>Microsoft Office User</cp:lastModifiedBy>
  <cp:lastPrinted>2016-11-10T17:57:01Z</cp:lastPrinted>
  <dcterms:created xsi:type="dcterms:W3CDTF">2005-01-05T03:28:44Z</dcterms:created>
  <dcterms:modified xsi:type="dcterms:W3CDTF">2021-05-03T05:31:46Z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EmbedSmartTagsHasBeenSet">
    <vt:i4>1</vt:i4>
  </property>
</Properties>
</file>